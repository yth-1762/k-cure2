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8.105.35\빅데이터센터 공유폴더\1.빅데이터센터\4. 연구지원\8. 국민건강보험폐암발생연구_김연욱교수님\국가암데이터센터\result\"/>
    </mc:Choice>
  </mc:AlternateContent>
  <bookViews>
    <workbookView xWindow="0" yWindow="0" windowWidth="21480" windowHeight="5400" activeTab="1"/>
  </bookViews>
  <sheets>
    <sheet name="baseline" sheetId="3" r:id="rId1"/>
    <sheet name="table9&amp;10 model" sheetId="1" r:id="rId2"/>
    <sheet name="table11&amp;12&amp;13 model" sheetId="2" r:id="rId3"/>
    <sheet name="Sheet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6" i="4" l="1"/>
  <c r="T55" i="4"/>
  <c r="T53" i="4"/>
  <c r="T52" i="4"/>
  <c r="T50" i="4"/>
  <c r="T49" i="4"/>
  <c r="O56" i="4"/>
  <c r="O55" i="4"/>
  <c r="O53" i="4"/>
  <c r="O52" i="4"/>
  <c r="O50" i="4"/>
  <c r="O49" i="4"/>
  <c r="J56" i="4"/>
  <c r="J55" i="4"/>
  <c r="J53" i="4"/>
  <c r="J52" i="4"/>
  <c r="J50" i="4"/>
  <c r="J49" i="4"/>
  <c r="T44" i="4"/>
  <c r="T45" i="4"/>
  <c r="T43" i="4"/>
  <c r="T40" i="4"/>
  <c r="T41" i="4"/>
  <c r="T39" i="4"/>
  <c r="T35" i="4"/>
  <c r="T37" i="4"/>
  <c r="T36" i="4"/>
  <c r="O44" i="4"/>
  <c r="O45" i="4"/>
  <c r="O43" i="4"/>
  <c r="O40" i="4"/>
  <c r="O41" i="4"/>
  <c r="O39" i="4"/>
  <c r="O36" i="4"/>
  <c r="O37" i="4"/>
  <c r="O35" i="4"/>
  <c r="J44" i="4"/>
  <c r="J45" i="4"/>
  <c r="J43" i="4"/>
  <c r="J40" i="4"/>
  <c r="J41" i="4"/>
  <c r="J39" i="4"/>
  <c r="J37" i="4"/>
  <c r="J35" i="4"/>
  <c r="J36" i="4"/>
  <c r="C45" i="4"/>
  <c r="C46" i="4"/>
  <c r="C44" i="4"/>
  <c r="C40" i="4"/>
  <c r="C41" i="4"/>
  <c r="C39" i="4"/>
  <c r="C35" i="4"/>
  <c r="C36" i="4"/>
  <c r="C34" i="4"/>
  <c r="C30" i="4"/>
  <c r="C31" i="4"/>
  <c r="C29" i="4"/>
  <c r="C26" i="4"/>
  <c r="C27" i="4"/>
  <c r="C25" i="4"/>
  <c r="C22" i="4"/>
  <c r="C23" i="4"/>
  <c r="C21" i="4"/>
  <c r="C17" i="4"/>
  <c r="C18" i="4"/>
  <c r="C16" i="4"/>
  <c r="C13" i="4"/>
  <c r="C14" i="4"/>
  <c r="C12" i="4"/>
  <c r="C7" i="4"/>
  <c r="C8" i="4"/>
  <c r="C9" i="4"/>
  <c r="C6" i="4"/>
  <c r="C2" i="4"/>
  <c r="C3" i="4"/>
  <c r="C4" i="4"/>
  <c r="C1" i="4"/>
  <c r="F127" i="3" l="1"/>
  <c r="F128" i="3"/>
  <c r="F129" i="3"/>
  <c r="F130" i="3"/>
  <c r="F131" i="3"/>
  <c r="F132" i="3"/>
  <c r="F126" i="3"/>
  <c r="F119" i="3"/>
  <c r="F120" i="3"/>
  <c r="F121" i="3"/>
  <c r="F122" i="3"/>
  <c r="F123" i="3"/>
  <c r="F124" i="3"/>
  <c r="F118" i="3"/>
  <c r="AF106" i="3" l="1"/>
  <c r="AF105" i="3"/>
  <c r="AF104" i="3"/>
  <c r="AF103" i="3"/>
  <c r="AF102" i="3"/>
  <c r="AF101" i="3"/>
  <c r="AF100" i="3"/>
  <c r="AF98" i="3"/>
  <c r="AF97" i="3"/>
  <c r="AF96" i="3"/>
  <c r="AF95" i="3"/>
  <c r="AF94" i="3"/>
  <c r="AF93" i="3"/>
  <c r="AF92" i="3"/>
  <c r="AF88" i="3"/>
  <c r="AF83" i="3"/>
  <c r="AF77" i="3"/>
  <c r="AF76" i="3"/>
  <c r="AF68" i="3"/>
  <c r="AF63" i="3"/>
  <c r="AF62" i="3"/>
  <c r="X101" i="3"/>
  <c r="X102" i="3"/>
  <c r="X103" i="3"/>
  <c r="X104" i="3"/>
  <c r="X105" i="3"/>
  <c r="X106" i="3"/>
  <c r="X100" i="3"/>
  <c r="X98" i="3"/>
  <c r="X97" i="3"/>
  <c r="X96" i="3"/>
  <c r="X95" i="3"/>
  <c r="X94" i="3"/>
  <c r="X93" i="3"/>
  <c r="X92" i="3"/>
  <c r="X88" i="3"/>
  <c r="X83" i="3"/>
  <c r="X77" i="3"/>
  <c r="X76" i="3"/>
  <c r="X75" i="3"/>
  <c r="X71" i="3"/>
  <c r="X68" i="3"/>
  <c r="X63" i="3"/>
  <c r="X62" i="3"/>
  <c r="O101" i="3"/>
  <c r="O102" i="3"/>
  <c r="O103" i="3"/>
  <c r="O104" i="3"/>
  <c r="O105" i="3"/>
  <c r="O106" i="3"/>
  <c r="O100" i="3"/>
  <c r="O93" i="3"/>
  <c r="O94" i="3"/>
  <c r="O95" i="3"/>
  <c r="O96" i="3"/>
  <c r="O97" i="3"/>
  <c r="O98" i="3"/>
  <c r="O92" i="3"/>
  <c r="O88" i="3"/>
  <c r="O83" i="3"/>
  <c r="O76" i="3"/>
  <c r="O77" i="3"/>
  <c r="O75" i="3"/>
  <c r="O71" i="3"/>
  <c r="O68" i="3"/>
  <c r="O64" i="3"/>
  <c r="O62" i="3"/>
  <c r="F100" i="3"/>
  <c r="F101" i="3"/>
  <c r="F102" i="3"/>
  <c r="F103" i="3"/>
  <c r="F104" i="3"/>
  <c r="F105" i="3"/>
  <c r="F99" i="3"/>
  <c r="F92" i="3"/>
  <c r="F93" i="3"/>
  <c r="F94" i="3"/>
  <c r="F95" i="3"/>
  <c r="F96" i="3"/>
  <c r="F97" i="3"/>
  <c r="F91" i="3"/>
  <c r="F87" i="3"/>
  <c r="F82" i="3"/>
  <c r="F75" i="3"/>
  <c r="F76" i="3"/>
  <c r="F74" i="3"/>
  <c r="F70" i="3"/>
  <c r="F67" i="3"/>
  <c r="F63" i="3"/>
  <c r="F62" i="3"/>
  <c r="AF44" i="3"/>
  <c r="AF45" i="3"/>
  <c r="AF46" i="3"/>
  <c r="AF47" i="3"/>
  <c r="AF48" i="3"/>
  <c r="AF49" i="3"/>
  <c r="AF43" i="3"/>
  <c r="AF36" i="3"/>
  <c r="AF37" i="3"/>
  <c r="AF38" i="3"/>
  <c r="AF39" i="3"/>
  <c r="AF40" i="3"/>
  <c r="AF41" i="3"/>
  <c r="AF35" i="3"/>
  <c r="AF31" i="3"/>
  <c r="AF26" i="3"/>
  <c r="AF19" i="3"/>
  <c r="AF20" i="3"/>
  <c r="AF18" i="3"/>
  <c r="AF14" i="3"/>
  <c r="AF4" i="3"/>
  <c r="AF3" i="3"/>
  <c r="X46" i="3"/>
  <c r="X45" i="3"/>
  <c r="X44" i="3"/>
  <c r="X43" i="3"/>
  <c r="X42" i="3"/>
  <c r="X41" i="3"/>
  <c r="X40" i="3"/>
  <c r="X38" i="3"/>
  <c r="X37" i="3"/>
  <c r="X36" i="3"/>
  <c r="X35" i="3"/>
  <c r="X34" i="3"/>
  <c r="X33" i="3"/>
  <c r="X32" i="3"/>
  <c r="X28" i="3"/>
  <c r="X23" i="3"/>
  <c r="X16" i="3"/>
  <c r="X17" i="3"/>
  <c r="X15" i="3"/>
  <c r="X11" i="3"/>
  <c r="X4" i="3"/>
  <c r="X3" i="3"/>
  <c r="P49" i="3"/>
  <c r="P48" i="3"/>
  <c r="P47" i="3"/>
  <c r="P46" i="3"/>
  <c r="P45" i="3"/>
  <c r="P44" i="3"/>
  <c r="P43" i="3"/>
  <c r="P41" i="3"/>
  <c r="P40" i="3"/>
  <c r="P39" i="3"/>
  <c r="P38" i="3"/>
  <c r="P37" i="3"/>
  <c r="P36" i="3"/>
  <c r="P35" i="3"/>
  <c r="P31" i="3"/>
  <c r="P26" i="3"/>
  <c r="P20" i="3"/>
  <c r="P18" i="3"/>
  <c r="P14" i="3"/>
  <c r="P11" i="3"/>
  <c r="P4" i="3"/>
  <c r="P3" i="3"/>
  <c r="G46" i="3"/>
  <c r="G45" i="3"/>
  <c r="G44" i="3"/>
  <c r="G43" i="3"/>
  <c r="G42" i="3"/>
  <c r="G41" i="3"/>
  <c r="G40" i="3"/>
  <c r="G38" i="3"/>
  <c r="G37" i="3"/>
  <c r="G36" i="3"/>
  <c r="G35" i="3"/>
  <c r="G34" i="3"/>
  <c r="G33" i="3"/>
  <c r="G32" i="3"/>
  <c r="G28" i="3"/>
  <c r="G23" i="3"/>
  <c r="G17" i="3"/>
  <c r="G15" i="3"/>
  <c r="G11" i="3"/>
  <c r="G8" i="3"/>
  <c r="G4" i="3"/>
  <c r="G3" i="3"/>
  <c r="Y153" i="2" l="1"/>
  <c r="X153" i="2"/>
  <c r="P153" i="2"/>
  <c r="O153" i="2"/>
  <c r="G153" i="2"/>
  <c r="F153" i="2"/>
  <c r="Y152" i="2"/>
  <c r="X152" i="2"/>
  <c r="P152" i="2"/>
  <c r="O152" i="2"/>
  <c r="G152" i="2"/>
  <c r="F152" i="2"/>
  <c r="Y151" i="2"/>
  <c r="X151" i="2"/>
  <c r="P151" i="2"/>
  <c r="O151" i="2"/>
  <c r="G151" i="2"/>
  <c r="F151" i="2"/>
  <c r="Y150" i="2"/>
  <c r="X150" i="2"/>
  <c r="P150" i="2"/>
  <c r="O150" i="2"/>
  <c r="G150" i="2"/>
  <c r="F150" i="2"/>
  <c r="Y149" i="2"/>
  <c r="X149" i="2"/>
  <c r="P149" i="2"/>
  <c r="O149" i="2"/>
  <c r="G149" i="2"/>
  <c r="F149" i="2"/>
  <c r="Y148" i="2"/>
  <c r="X148" i="2"/>
  <c r="P148" i="2"/>
  <c r="O148" i="2"/>
  <c r="G148" i="2"/>
  <c r="F148" i="2"/>
  <c r="Y147" i="2"/>
  <c r="X147" i="2"/>
  <c r="P147" i="2"/>
  <c r="O147" i="2"/>
  <c r="G147" i="2"/>
  <c r="F147" i="2"/>
  <c r="Y146" i="2"/>
  <c r="X146" i="2"/>
  <c r="P146" i="2"/>
  <c r="O146" i="2"/>
  <c r="G146" i="2"/>
  <c r="F146" i="2"/>
  <c r="Y145" i="2"/>
  <c r="X145" i="2"/>
  <c r="P145" i="2"/>
  <c r="O145" i="2"/>
  <c r="G145" i="2"/>
  <c r="F145" i="2"/>
  <c r="Y144" i="2"/>
  <c r="X144" i="2"/>
  <c r="P144" i="2"/>
  <c r="O144" i="2"/>
  <c r="G144" i="2"/>
  <c r="F144" i="2"/>
  <c r="Y143" i="2"/>
  <c r="X143" i="2"/>
  <c r="P143" i="2"/>
  <c r="O143" i="2"/>
  <c r="G143" i="2"/>
  <c r="F143" i="2"/>
  <c r="Y142" i="2"/>
  <c r="X142" i="2"/>
  <c r="P142" i="2"/>
  <c r="O142" i="2"/>
  <c r="G142" i="2"/>
  <c r="F142" i="2"/>
  <c r="Y141" i="2"/>
  <c r="X141" i="2"/>
  <c r="P141" i="2"/>
  <c r="O141" i="2"/>
  <c r="G141" i="2"/>
  <c r="F141" i="2"/>
  <c r="Y140" i="2"/>
  <c r="X140" i="2"/>
  <c r="P140" i="2"/>
  <c r="O140" i="2"/>
  <c r="G140" i="2"/>
  <c r="F140" i="2"/>
  <c r="Y139" i="2"/>
  <c r="X139" i="2"/>
  <c r="P139" i="2"/>
  <c r="O139" i="2"/>
  <c r="G139" i="2"/>
  <c r="F139" i="2"/>
  <c r="Y138" i="2"/>
  <c r="X138" i="2"/>
  <c r="P138" i="2"/>
  <c r="O138" i="2"/>
  <c r="G138" i="2"/>
  <c r="F138" i="2"/>
  <c r="Y137" i="2"/>
  <c r="X137" i="2"/>
  <c r="P137" i="2"/>
  <c r="O137" i="2"/>
  <c r="G137" i="2"/>
  <c r="F137" i="2"/>
  <c r="Y136" i="2"/>
  <c r="X136" i="2"/>
  <c r="P136" i="2"/>
  <c r="O136" i="2"/>
  <c r="G136" i="2"/>
  <c r="F136" i="2"/>
  <c r="Y135" i="2"/>
  <c r="X135" i="2"/>
  <c r="P135" i="2"/>
  <c r="O135" i="2"/>
  <c r="G135" i="2"/>
  <c r="F135" i="2"/>
  <c r="Y129" i="2"/>
  <c r="X129" i="2"/>
  <c r="P129" i="2"/>
  <c r="O129" i="2"/>
  <c r="G129" i="2"/>
  <c r="F129" i="2"/>
  <c r="Y128" i="2"/>
  <c r="X128" i="2"/>
  <c r="P128" i="2"/>
  <c r="O128" i="2"/>
  <c r="G128" i="2"/>
  <c r="F128" i="2"/>
  <c r="Y127" i="2"/>
  <c r="X127" i="2"/>
  <c r="P127" i="2"/>
  <c r="O127" i="2"/>
  <c r="G127" i="2"/>
  <c r="F127" i="2"/>
  <c r="Y126" i="2"/>
  <c r="X126" i="2"/>
  <c r="P126" i="2"/>
  <c r="O126" i="2"/>
  <c r="G126" i="2"/>
  <c r="F126" i="2"/>
  <c r="Y125" i="2"/>
  <c r="X125" i="2"/>
  <c r="P125" i="2"/>
  <c r="O125" i="2"/>
  <c r="G125" i="2"/>
  <c r="F125" i="2"/>
  <c r="Y124" i="2"/>
  <c r="X124" i="2"/>
  <c r="P124" i="2"/>
  <c r="O124" i="2"/>
  <c r="G124" i="2"/>
  <c r="F124" i="2"/>
  <c r="Y123" i="2"/>
  <c r="X123" i="2"/>
  <c r="P123" i="2"/>
  <c r="O123" i="2"/>
  <c r="G123" i="2"/>
  <c r="F123" i="2"/>
  <c r="Y122" i="2"/>
  <c r="X122" i="2"/>
  <c r="P122" i="2"/>
  <c r="O122" i="2"/>
  <c r="G122" i="2"/>
  <c r="F122" i="2"/>
  <c r="Y121" i="2"/>
  <c r="X121" i="2"/>
  <c r="P121" i="2"/>
  <c r="O121" i="2"/>
  <c r="G121" i="2"/>
  <c r="F121" i="2"/>
  <c r="Y120" i="2"/>
  <c r="X120" i="2"/>
  <c r="P120" i="2"/>
  <c r="O120" i="2"/>
  <c r="G120" i="2"/>
  <c r="F120" i="2"/>
  <c r="Y119" i="2"/>
  <c r="X119" i="2"/>
  <c r="P119" i="2"/>
  <c r="O119" i="2"/>
  <c r="G119" i="2"/>
  <c r="F119" i="2"/>
  <c r="Y118" i="2"/>
  <c r="X118" i="2"/>
  <c r="P118" i="2"/>
  <c r="O118" i="2"/>
  <c r="G118" i="2"/>
  <c r="F118" i="2"/>
  <c r="Y117" i="2"/>
  <c r="X117" i="2"/>
  <c r="P117" i="2"/>
  <c r="O117" i="2"/>
  <c r="G117" i="2"/>
  <c r="F117" i="2"/>
  <c r="Y116" i="2"/>
  <c r="X116" i="2"/>
  <c r="P116" i="2"/>
  <c r="O116" i="2"/>
  <c r="G116" i="2"/>
  <c r="F116" i="2"/>
  <c r="Y115" i="2"/>
  <c r="X115" i="2"/>
  <c r="P115" i="2"/>
  <c r="O115" i="2"/>
  <c r="G115" i="2"/>
  <c r="F115" i="2"/>
  <c r="Y114" i="2"/>
  <c r="X114" i="2"/>
  <c r="P114" i="2"/>
  <c r="O114" i="2"/>
  <c r="G114" i="2"/>
  <c r="F114" i="2"/>
  <c r="Y113" i="2"/>
  <c r="X113" i="2"/>
  <c r="P113" i="2"/>
  <c r="O113" i="2"/>
  <c r="G113" i="2"/>
  <c r="F113" i="2"/>
  <c r="Y112" i="2"/>
  <c r="X112" i="2"/>
  <c r="P112" i="2"/>
  <c r="O112" i="2"/>
  <c r="G112" i="2"/>
  <c r="F112" i="2"/>
  <c r="Y111" i="2"/>
  <c r="X111" i="2"/>
  <c r="P111" i="2"/>
  <c r="O111" i="2"/>
  <c r="G111" i="2"/>
  <c r="F111" i="2"/>
  <c r="Y110" i="2"/>
  <c r="X110" i="2"/>
  <c r="P110" i="2"/>
  <c r="O110" i="2"/>
  <c r="G110" i="2"/>
  <c r="F110" i="2"/>
  <c r="Y104" i="2"/>
  <c r="X104" i="2"/>
  <c r="P104" i="2"/>
  <c r="O104" i="2"/>
  <c r="G104" i="2"/>
  <c r="F104" i="2"/>
  <c r="Y103" i="2"/>
  <c r="X103" i="2"/>
  <c r="P103" i="2"/>
  <c r="O103" i="2"/>
  <c r="G103" i="2"/>
  <c r="F103" i="2"/>
  <c r="Y102" i="2"/>
  <c r="X102" i="2"/>
  <c r="P102" i="2"/>
  <c r="O102" i="2"/>
  <c r="G102" i="2"/>
  <c r="F102" i="2"/>
  <c r="Y101" i="2"/>
  <c r="X101" i="2"/>
  <c r="P101" i="2"/>
  <c r="O101" i="2"/>
  <c r="G101" i="2"/>
  <c r="F101" i="2"/>
  <c r="Y100" i="2"/>
  <c r="X100" i="2"/>
  <c r="P100" i="2"/>
  <c r="O100" i="2"/>
  <c r="G100" i="2"/>
  <c r="F100" i="2"/>
  <c r="Y99" i="2"/>
  <c r="X99" i="2"/>
  <c r="P99" i="2"/>
  <c r="O99" i="2"/>
  <c r="G99" i="2"/>
  <c r="F99" i="2"/>
  <c r="Y98" i="2"/>
  <c r="X98" i="2"/>
  <c r="P98" i="2"/>
  <c r="O98" i="2"/>
  <c r="G98" i="2"/>
  <c r="F98" i="2"/>
  <c r="Y97" i="2"/>
  <c r="X97" i="2"/>
  <c r="P97" i="2"/>
  <c r="O97" i="2"/>
  <c r="G97" i="2"/>
  <c r="F97" i="2"/>
  <c r="Y96" i="2"/>
  <c r="X96" i="2"/>
  <c r="P96" i="2"/>
  <c r="O96" i="2"/>
  <c r="G96" i="2"/>
  <c r="F96" i="2"/>
  <c r="Y95" i="2"/>
  <c r="X95" i="2"/>
  <c r="P95" i="2"/>
  <c r="O95" i="2"/>
  <c r="G95" i="2"/>
  <c r="F95" i="2"/>
  <c r="Y94" i="2"/>
  <c r="X94" i="2"/>
  <c r="P94" i="2"/>
  <c r="O94" i="2"/>
  <c r="G94" i="2"/>
  <c r="F94" i="2"/>
  <c r="Y93" i="2"/>
  <c r="X93" i="2"/>
  <c r="P93" i="2"/>
  <c r="O93" i="2"/>
  <c r="G93" i="2"/>
  <c r="F93" i="2"/>
  <c r="Y92" i="2"/>
  <c r="X92" i="2"/>
  <c r="P92" i="2"/>
  <c r="O92" i="2"/>
  <c r="G92" i="2"/>
  <c r="F92" i="2"/>
  <c r="Y91" i="2"/>
  <c r="X91" i="2"/>
  <c r="P91" i="2"/>
  <c r="O91" i="2"/>
  <c r="G91" i="2"/>
  <c r="F91" i="2"/>
  <c r="Y90" i="2"/>
  <c r="X90" i="2"/>
  <c r="P90" i="2"/>
  <c r="O90" i="2"/>
  <c r="G90" i="2"/>
  <c r="F90" i="2"/>
  <c r="Y89" i="2"/>
  <c r="X89" i="2"/>
  <c r="P89" i="2"/>
  <c r="O89" i="2"/>
  <c r="G89" i="2"/>
  <c r="F89" i="2"/>
  <c r="Y88" i="2"/>
  <c r="X88" i="2"/>
  <c r="P88" i="2"/>
  <c r="O88" i="2"/>
  <c r="G88" i="2"/>
  <c r="F88" i="2"/>
  <c r="Y87" i="2"/>
  <c r="X87" i="2"/>
  <c r="P87" i="2"/>
  <c r="O87" i="2"/>
  <c r="G87" i="2"/>
  <c r="F87" i="2"/>
  <c r="Y86" i="2"/>
  <c r="X86" i="2"/>
  <c r="P86" i="2"/>
  <c r="O86" i="2"/>
  <c r="G86" i="2"/>
  <c r="F86" i="2"/>
  <c r="Y85" i="2"/>
  <c r="X85" i="2"/>
  <c r="P85" i="2"/>
  <c r="O85" i="2"/>
  <c r="G85" i="2"/>
  <c r="F85" i="2"/>
  <c r="Y84" i="2"/>
  <c r="X84" i="2"/>
  <c r="P84" i="2"/>
  <c r="O84" i="2"/>
  <c r="G84" i="2"/>
  <c r="F84" i="2"/>
  <c r="Y78" i="2"/>
  <c r="X78" i="2"/>
  <c r="P78" i="2"/>
  <c r="O78" i="2"/>
  <c r="G78" i="2"/>
  <c r="F78" i="2"/>
  <c r="Y77" i="2"/>
  <c r="X77" i="2"/>
  <c r="P77" i="2"/>
  <c r="O77" i="2"/>
  <c r="G77" i="2"/>
  <c r="F77" i="2"/>
  <c r="Y76" i="2"/>
  <c r="X76" i="2"/>
  <c r="P76" i="2"/>
  <c r="O76" i="2"/>
  <c r="G76" i="2"/>
  <c r="F76" i="2"/>
  <c r="Y75" i="2"/>
  <c r="X75" i="2"/>
  <c r="P75" i="2"/>
  <c r="O75" i="2"/>
  <c r="G75" i="2"/>
  <c r="F75" i="2"/>
  <c r="Y74" i="2"/>
  <c r="X74" i="2"/>
  <c r="P74" i="2"/>
  <c r="O74" i="2"/>
  <c r="G74" i="2"/>
  <c r="F74" i="2"/>
  <c r="Y73" i="2"/>
  <c r="X73" i="2"/>
  <c r="P73" i="2"/>
  <c r="O73" i="2"/>
  <c r="G73" i="2"/>
  <c r="F73" i="2"/>
  <c r="Y72" i="2"/>
  <c r="X72" i="2"/>
  <c r="P72" i="2"/>
  <c r="O72" i="2"/>
  <c r="G72" i="2"/>
  <c r="F72" i="2"/>
  <c r="Y71" i="2"/>
  <c r="X71" i="2"/>
  <c r="P71" i="2"/>
  <c r="O71" i="2"/>
  <c r="G71" i="2"/>
  <c r="F71" i="2"/>
  <c r="Y70" i="2"/>
  <c r="X70" i="2"/>
  <c r="P70" i="2"/>
  <c r="O70" i="2"/>
  <c r="G70" i="2"/>
  <c r="F70" i="2"/>
  <c r="Y69" i="2"/>
  <c r="X69" i="2"/>
  <c r="P69" i="2"/>
  <c r="O69" i="2"/>
  <c r="G69" i="2"/>
  <c r="F69" i="2"/>
  <c r="Y68" i="2"/>
  <c r="X68" i="2"/>
  <c r="P68" i="2"/>
  <c r="O68" i="2"/>
  <c r="G68" i="2"/>
  <c r="F68" i="2"/>
  <c r="Y67" i="2"/>
  <c r="X67" i="2"/>
  <c r="P67" i="2"/>
  <c r="O67" i="2"/>
  <c r="G67" i="2"/>
  <c r="F67" i="2"/>
  <c r="Y66" i="2"/>
  <c r="X66" i="2"/>
  <c r="P66" i="2"/>
  <c r="O66" i="2"/>
  <c r="G66" i="2"/>
  <c r="F66" i="2"/>
  <c r="Y65" i="2"/>
  <c r="X65" i="2"/>
  <c r="P65" i="2"/>
  <c r="O65" i="2"/>
  <c r="G65" i="2"/>
  <c r="F65" i="2"/>
  <c r="Y64" i="2"/>
  <c r="X64" i="2"/>
  <c r="P64" i="2"/>
  <c r="O64" i="2"/>
  <c r="G64" i="2"/>
  <c r="F64" i="2"/>
  <c r="Y63" i="2"/>
  <c r="X63" i="2"/>
  <c r="P63" i="2"/>
  <c r="O63" i="2"/>
  <c r="G63" i="2"/>
  <c r="F63" i="2"/>
  <c r="Y62" i="2"/>
  <c r="X62" i="2"/>
  <c r="P62" i="2"/>
  <c r="O62" i="2"/>
  <c r="G62" i="2"/>
  <c r="F62" i="2"/>
  <c r="Y61" i="2"/>
  <c r="X61" i="2"/>
  <c r="P61" i="2"/>
  <c r="O61" i="2"/>
  <c r="G61" i="2"/>
  <c r="F61" i="2"/>
  <c r="Y60" i="2"/>
  <c r="X60" i="2"/>
  <c r="P60" i="2"/>
  <c r="O60" i="2"/>
  <c r="G60" i="2"/>
  <c r="F60" i="2"/>
  <c r="Y59" i="2"/>
  <c r="X59" i="2"/>
  <c r="P59" i="2"/>
  <c r="O59" i="2"/>
  <c r="G59" i="2"/>
  <c r="F59" i="2"/>
  <c r="Y58" i="2"/>
  <c r="X58" i="2"/>
  <c r="P58" i="2"/>
  <c r="O58" i="2"/>
  <c r="G58" i="2"/>
  <c r="F58" i="2"/>
  <c r="Y57" i="2"/>
  <c r="X57" i="2"/>
  <c r="P57" i="2"/>
  <c r="O57" i="2"/>
  <c r="G57" i="2"/>
  <c r="F57" i="2"/>
  <c r="Y51" i="2"/>
  <c r="X51" i="2"/>
  <c r="P51" i="2"/>
  <c r="O51" i="2"/>
  <c r="G51" i="2"/>
  <c r="F51" i="2"/>
  <c r="Y50" i="2"/>
  <c r="X50" i="2"/>
  <c r="P50" i="2"/>
  <c r="O50" i="2"/>
  <c r="G50" i="2"/>
  <c r="F50" i="2"/>
  <c r="Y49" i="2"/>
  <c r="X49" i="2"/>
  <c r="P49" i="2"/>
  <c r="O49" i="2"/>
  <c r="G49" i="2"/>
  <c r="F49" i="2"/>
  <c r="Y48" i="2"/>
  <c r="X48" i="2"/>
  <c r="P48" i="2"/>
  <c r="O48" i="2"/>
  <c r="G48" i="2"/>
  <c r="F48" i="2"/>
  <c r="Y47" i="2"/>
  <c r="X47" i="2"/>
  <c r="P47" i="2"/>
  <c r="O47" i="2"/>
  <c r="G47" i="2"/>
  <c r="F47" i="2"/>
  <c r="Y46" i="2"/>
  <c r="X46" i="2"/>
  <c r="P46" i="2"/>
  <c r="O46" i="2"/>
  <c r="G46" i="2"/>
  <c r="F46" i="2"/>
  <c r="Y45" i="2"/>
  <c r="X45" i="2"/>
  <c r="P45" i="2"/>
  <c r="O45" i="2"/>
  <c r="G45" i="2"/>
  <c r="F45" i="2"/>
  <c r="Y44" i="2"/>
  <c r="X44" i="2"/>
  <c r="P44" i="2"/>
  <c r="O44" i="2"/>
  <c r="G44" i="2"/>
  <c r="F44" i="2"/>
  <c r="Y43" i="2"/>
  <c r="X43" i="2"/>
  <c r="P43" i="2"/>
  <c r="O43" i="2"/>
  <c r="G43" i="2"/>
  <c r="F43" i="2"/>
  <c r="Y41" i="2"/>
  <c r="X41" i="2"/>
  <c r="P42" i="2"/>
  <c r="O42" i="2"/>
  <c r="G42" i="2"/>
  <c r="F42" i="2"/>
  <c r="Y40" i="2"/>
  <c r="X40" i="2"/>
  <c r="P41" i="2"/>
  <c r="O41" i="2"/>
  <c r="G41" i="2"/>
  <c r="F41" i="2"/>
  <c r="Y42" i="2"/>
  <c r="X42" i="2"/>
  <c r="P40" i="2"/>
  <c r="O40" i="2"/>
  <c r="G40" i="2"/>
  <c r="F40" i="2"/>
  <c r="Y39" i="2"/>
  <c r="X39" i="2"/>
  <c r="P39" i="2"/>
  <c r="O39" i="2"/>
  <c r="G39" i="2"/>
  <c r="F39" i="2"/>
  <c r="Y38" i="2"/>
  <c r="X38" i="2"/>
  <c r="P38" i="2"/>
  <c r="O38" i="2"/>
  <c r="G38" i="2"/>
  <c r="F38" i="2"/>
  <c r="Y37" i="2"/>
  <c r="X37" i="2"/>
  <c r="P37" i="2"/>
  <c r="O37" i="2"/>
  <c r="G37" i="2"/>
  <c r="F37" i="2"/>
  <c r="Y36" i="2"/>
  <c r="X36" i="2"/>
  <c r="P36" i="2"/>
  <c r="O36" i="2"/>
  <c r="G36" i="2"/>
  <c r="F36" i="2"/>
  <c r="Y35" i="2"/>
  <c r="X35" i="2"/>
  <c r="P35" i="2"/>
  <c r="O35" i="2"/>
  <c r="G35" i="2"/>
  <c r="F35" i="2"/>
  <c r="Y34" i="2"/>
  <c r="X34" i="2"/>
  <c r="P34" i="2"/>
  <c r="O34" i="2"/>
  <c r="G34" i="2"/>
  <c r="F34" i="2"/>
  <c r="Y33" i="2"/>
  <c r="X33" i="2"/>
  <c r="P33" i="2"/>
  <c r="O33" i="2"/>
  <c r="G33" i="2"/>
  <c r="F33" i="2"/>
  <c r="Y32" i="2"/>
  <c r="X32" i="2"/>
  <c r="P32" i="2"/>
  <c r="O32" i="2"/>
  <c r="G32" i="2"/>
  <c r="F32" i="2"/>
  <c r="Y31" i="2"/>
  <c r="X31" i="2"/>
  <c r="P31" i="2"/>
  <c r="O31" i="2"/>
  <c r="G31" i="2"/>
  <c r="F31" i="2"/>
  <c r="Y24" i="2"/>
  <c r="X24" i="2"/>
  <c r="P24" i="2"/>
  <c r="O24" i="2"/>
  <c r="G24" i="2"/>
  <c r="F24" i="2"/>
  <c r="Y23" i="2"/>
  <c r="X23" i="2"/>
  <c r="P23" i="2"/>
  <c r="O23" i="2"/>
  <c r="G23" i="2"/>
  <c r="F23" i="2"/>
  <c r="Y22" i="2"/>
  <c r="X22" i="2"/>
  <c r="P22" i="2"/>
  <c r="O22" i="2"/>
  <c r="G22" i="2"/>
  <c r="F22" i="2"/>
  <c r="Y21" i="2"/>
  <c r="X21" i="2"/>
  <c r="P21" i="2"/>
  <c r="O21" i="2"/>
  <c r="G21" i="2"/>
  <c r="F21" i="2"/>
  <c r="Y20" i="2"/>
  <c r="X20" i="2"/>
  <c r="P20" i="2"/>
  <c r="O20" i="2"/>
  <c r="G20" i="2"/>
  <c r="F20" i="2"/>
  <c r="Y19" i="2"/>
  <c r="X19" i="2"/>
  <c r="P19" i="2"/>
  <c r="O19" i="2"/>
  <c r="G19" i="2"/>
  <c r="F19" i="2"/>
  <c r="Y18" i="2"/>
  <c r="X18" i="2"/>
  <c r="P18" i="2"/>
  <c r="O18" i="2"/>
  <c r="G18" i="2"/>
  <c r="F18" i="2"/>
  <c r="Y17" i="2"/>
  <c r="X17" i="2"/>
  <c r="P17" i="2"/>
  <c r="O17" i="2"/>
  <c r="G17" i="2"/>
  <c r="F17" i="2"/>
  <c r="Y16" i="2"/>
  <c r="X16" i="2"/>
  <c r="P16" i="2"/>
  <c r="O16" i="2"/>
  <c r="G16" i="2"/>
  <c r="F16" i="2"/>
  <c r="Y15" i="2"/>
  <c r="X15" i="2"/>
  <c r="P15" i="2"/>
  <c r="O15" i="2"/>
  <c r="G15" i="2"/>
  <c r="F15" i="2"/>
  <c r="Y14" i="2"/>
  <c r="X14" i="2"/>
  <c r="P14" i="2"/>
  <c r="O14" i="2"/>
  <c r="G14" i="2"/>
  <c r="F14" i="2"/>
  <c r="Y13" i="2"/>
  <c r="X13" i="2"/>
  <c r="P13" i="2"/>
  <c r="O13" i="2"/>
  <c r="G13" i="2"/>
  <c r="F13" i="2"/>
  <c r="Y12" i="2"/>
  <c r="X12" i="2"/>
  <c r="P12" i="2"/>
  <c r="O12" i="2"/>
  <c r="G12" i="2"/>
  <c r="F12" i="2"/>
  <c r="Y11" i="2"/>
  <c r="X11" i="2"/>
  <c r="P11" i="2"/>
  <c r="O11" i="2"/>
  <c r="G11" i="2"/>
  <c r="F11" i="2"/>
  <c r="Y10" i="2"/>
  <c r="X10" i="2"/>
  <c r="P10" i="2"/>
  <c r="O10" i="2"/>
  <c r="G10" i="2"/>
  <c r="F10" i="2"/>
  <c r="Y9" i="2"/>
  <c r="X9" i="2"/>
  <c r="P9" i="2"/>
  <c r="O9" i="2"/>
  <c r="G9" i="2"/>
  <c r="F9" i="2"/>
  <c r="Y8" i="2"/>
  <c r="X8" i="2"/>
  <c r="P8" i="2"/>
  <c r="O8" i="2"/>
  <c r="G8" i="2"/>
  <c r="F8" i="2"/>
  <c r="Y7" i="2"/>
  <c r="X7" i="2"/>
  <c r="P7" i="2"/>
  <c r="O7" i="2"/>
  <c r="G7" i="2"/>
  <c r="F7" i="2"/>
  <c r="Y6" i="2"/>
  <c r="X6" i="2"/>
  <c r="P6" i="2"/>
  <c r="O6" i="2"/>
  <c r="G6" i="2"/>
  <c r="F6" i="2"/>
  <c r="Y5" i="2"/>
  <c r="X5" i="2"/>
  <c r="P5" i="2"/>
  <c r="O5" i="2"/>
  <c r="G5" i="2"/>
  <c r="F5" i="2"/>
  <c r="Y4" i="2"/>
  <c r="X4" i="2"/>
  <c r="P4" i="2"/>
  <c r="O4" i="2"/>
  <c r="G4" i="2"/>
  <c r="F4" i="2"/>
  <c r="Y3" i="2"/>
  <c r="X3" i="2"/>
  <c r="P3" i="2"/>
  <c r="O3" i="2"/>
  <c r="G3" i="2"/>
  <c r="F3" i="2"/>
  <c r="Y83" i="1" l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82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08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82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08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G82" i="1"/>
  <c r="F82" i="1"/>
  <c r="P60" i="1"/>
  <c r="P61" i="1"/>
  <c r="P62" i="1"/>
  <c r="P63" i="1"/>
  <c r="P64" i="1"/>
  <c r="P65" i="1"/>
  <c r="P68" i="1"/>
  <c r="P66" i="1"/>
  <c r="P67" i="1"/>
  <c r="P69" i="1"/>
  <c r="P70" i="1"/>
  <c r="P71" i="1"/>
  <c r="P72" i="1"/>
  <c r="P73" i="1"/>
  <c r="P74" i="1"/>
  <c r="P75" i="1"/>
  <c r="P76" i="1"/>
  <c r="P77" i="1"/>
  <c r="P59" i="1"/>
  <c r="O60" i="1"/>
  <c r="O61" i="1"/>
  <c r="O62" i="1"/>
  <c r="O63" i="1"/>
  <c r="O64" i="1"/>
  <c r="O65" i="1"/>
  <c r="O68" i="1"/>
  <c r="O66" i="1"/>
  <c r="O67" i="1"/>
  <c r="O69" i="1"/>
  <c r="O70" i="1"/>
  <c r="O71" i="1"/>
  <c r="O72" i="1"/>
  <c r="O73" i="1"/>
  <c r="O74" i="1"/>
  <c r="O75" i="1"/>
  <c r="O76" i="1"/>
  <c r="O77" i="1"/>
  <c r="O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59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3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3" i="1"/>
  <c r="O34" i="1" l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33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O25" i="1"/>
  <c r="P9" i="1"/>
  <c r="O9" i="1"/>
  <c r="G48" i="1"/>
  <c r="F48" i="1"/>
  <c r="F34" i="1"/>
  <c r="F35" i="1"/>
  <c r="F36" i="1"/>
  <c r="F37" i="1"/>
  <c r="F38" i="1"/>
  <c r="F39" i="1"/>
  <c r="F40" i="1"/>
  <c r="F41" i="1"/>
  <c r="F42" i="1"/>
  <c r="F45" i="1"/>
  <c r="F43" i="1"/>
  <c r="F44" i="1"/>
  <c r="F46" i="1"/>
  <c r="F47" i="1"/>
  <c r="F49" i="1"/>
  <c r="F50" i="1"/>
  <c r="F51" i="1"/>
  <c r="F52" i="1"/>
  <c r="F53" i="1"/>
  <c r="F54" i="1"/>
  <c r="F33" i="1"/>
  <c r="G54" i="1"/>
  <c r="G53" i="1"/>
  <c r="G52" i="1"/>
  <c r="G51" i="1"/>
  <c r="G50" i="1"/>
  <c r="G49" i="1"/>
  <c r="G47" i="1"/>
  <c r="G46" i="1"/>
  <c r="G44" i="1"/>
  <c r="G43" i="1"/>
  <c r="G45" i="1"/>
  <c r="G42" i="1"/>
  <c r="G41" i="1"/>
  <c r="G40" i="1"/>
  <c r="G39" i="1"/>
  <c r="G38" i="1"/>
  <c r="G37" i="1"/>
  <c r="G36" i="1"/>
  <c r="G35" i="1"/>
  <c r="G34" i="1"/>
  <c r="G33" i="1"/>
  <c r="P27" i="1"/>
  <c r="O27" i="1"/>
  <c r="P26" i="1"/>
  <c r="O26" i="1"/>
  <c r="P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8" i="1"/>
  <c r="O8" i="1"/>
  <c r="P7" i="1"/>
  <c r="O7" i="1"/>
  <c r="P6" i="1"/>
  <c r="O6" i="1"/>
  <c r="P5" i="1"/>
  <c r="O5" i="1"/>
  <c r="P4" i="1"/>
  <c r="O4" i="1"/>
  <c r="P3" i="1"/>
  <c r="O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" i="1"/>
</calcChain>
</file>

<file path=xl/sharedStrings.xml><?xml version="1.0" encoding="utf-8"?>
<sst xmlns="http://schemas.openxmlformats.org/spreadsheetml/2006/main" count="2253" uniqueCount="825">
  <si>
    <t>table9(all-cause mortality univariable)</t>
    <phoneticPr fontId="1" type="noConversion"/>
  </si>
  <si>
    <t>grouptype002</t>
  </si>
  <si>
    <t>grouptype003</t>
  </si>
  <si>
    <t>hr</t>
    <phoneticPr fontId="1" type="noConversion"/>
  </si>
  <si>
    <t>lower</t>
    <phoneticPr fontId="1" type="noConversion"/>
  </si>
  <si>
    <t>upper</t>
    <phoneticPr fontId="1" type="noConversion"/>
  </si>
  <si>
    <t>hr(95%ci)</t>
    <phoneticPr fontId="1" type="noConversion"/>
  </si>
  <si>
    <t>pvalue(new)</t>
    <phoneticPr fontId="1" type="noConversion"/>
  </si>
  <si>
    <t>pvalue</t>
    <phoneticPr fontId="1" type="noConversion"/>
  </si>
  <si>
    <t>AGE</t>
  </si>
  <si>
    <t>SEX1</t>
  </si>
  <si>
    <t>q_smk_yn2Ex-smoker</t>
  </si>
  <si>
    <t>q_smk_yn2Currentsmoker</t>
    <phoneticPr fontId="1" type="noConversion"/>
  </si>
  <si>
    <t>pack_year</t>
  </si>
  <si>
    <t>G1E_BMI</t>
  </si>
  <si>
    <t>income2</t>
  </si>
  <si>
    <t>income3</t>
  </si>
  <si>
    <t>income4</t>
  </si>
  <si>
    <t>income5</t>
  </si>
  <si>
    <t>cci_group1-2</t>
  </si>
  <si>
    <t>cci_group3-4</t>
  </si>
  <si>
    <t>cci_group&gt;=5</t>
  </si>
  <si>
    <t>activityactive</t>
  </si>
  <si>
    <t>non_small_yn1</t>
  </si>
  <si>
    <t>non_small_yn0</t>
  </si>
  <si>
    <t>SEER_GRP2</t>
  </si>
  <si>
    <t>SEER_GRP7</t>
  </si>
  <si>
    <t>SEER_GRP9</t>
  </si>
  <si>
    <t>surgery_ynyes</t>
  </si>
  <si>
    <t>radio_ynyes</t>
  </si>
  <si>
    <t>system_ynyes</t>
  </si>
  <si>
    <t>system_ynyes</t>
    <phoneticPr fontId="1" type="noConversion"/>
  </si>
  <si>
    <t>non_small_yn0</t>
    <phoneticPr fontId="1" type="noConversion"/>
  </si>
  <si>
    <t>table9(all-cause mortality multivariable)</t>
    <phoneticPr fontId="1" type="noConversion"/>
  </si>
  <si>
    <t>table9(lung cancer mortality univariable)</t>
    <phoneticPr fontId="1" type="noConversion"/>
  </si>
  <si>
    <t>table9(lung cancer mortality multivariable)</t>
    <phoneticPr fontId="1" type="noConversion"/>
  </si>
  <si>
    <t>table9(fine gray model univariable)</t>
    <phoneticPr fontId="1" type="noConversion"/>
  </si>
  <si>
    <t>table9(fine-gray model multivariable)</t>
    <phoneticPr fontId="1" type="noConversion"/>
  </si>
  <si>
    <t>table9-1(all cause mortality multivariable)</t>
    <phoneticPr fontId="1" type="noConversion"/>
  </si>
  <si>
    <t>hr</t>
    <phoneticPr fontId="1" type="noConversion"/>
  </si>
  <si>
    <t>lower</t>
    <phoneticPr fontId="1" type="noConversion"/>
  </si>
  <si>
    <t>upper</t>
    <phoneticPr fontId="1" type="noConversion"/>
  </si>
  <si>
    <t>pvalue</t>
    <phoneticPr fontId="1" type="noConversion"/>
  </si>
  <si>
    <t>table9-1(lung cancer mortality multivariable)</t>
    <phoneticPr fontId="1" type="noConversion"/>
  </si>
  <si>
    <t>non_small_yn0</t>
    <phoneticPr fontId="1" type="noConversion"/>
  </si>
  <si>
    <t>table10(all-cause mortality univariable)</t>
    <phoneticPr fontId="1" type="noConversion"/>
  </si>
  <si>
    <t>table10(lung cancer mortality univariable)</t>
    <phoneticPr fontId="1" type="noConversion"/>
  </si>
  <si>
    <t>table10(fine gray model univariable)</t>
    <phoneticPr fontId="1" type="noConversion"/>
  </si>
  <si>
    <t>smk_20&lt;20</t>
  </si>
  <si>
    <t>q_smk_yn2Current</t>
  </si>
  <si>
    <t>cci_group1-2</t>
    <phoneticPr fontId="1" type="noConversion"/>
  </si>
  <si>
    <t>non_small_yn0</t>
    <phoneticPr fontId="1" type="noConversion"/>
  </si>
  <si>
    <t>table10(all-cause mortality multivariable)</t>
    <phoneticPr fontId="1" type="noConversion"/>
  </si>
  <si>
    <t>table10(lung cancer mortality multivariable)</t>
    <phoneticPr fontId="1" type="noConversion"/>
  </si>
  <si>
    <t>table10(fine gray model multivariable)</t>
    <phoneticPr fontId="1" type="noConversion"/>
  </si>
  <si>
    <t>q_smk_yn2Currentsmoker</t>
  </si>
  <si>
    <t>non_small_yn1</t>
    <phoneticPr fontId="1" type="noConversion"/>
  </si>
  <si>
    <t>SEER_GRP2</t>
    <phoneticPr fontId="1" type="noConversion"/>
  </si>
  <si>
    <t>table11(all cause mortality univariable)</t>
    <phoneticPr fontId="1" type="noConversion"/>
  </si>
  <si>
    <t>table11(lung cancer mortality univariable)</t>
    <phoneticPr fontId="1" type="noConversion"/>
  </si>
  <si>
    <t>table11(fine-gray model univariable)</t>
    <phoneticPr fontId="1" type="noConversion"/>
  </si>
  <si>
    <t>hr</t>
    <phoneticPr fontId="1" type="noConversion"/>
  </si>
  <si>
    <t>lower</t>
    <phoneticPr fontId="1" type="noConversion"/>
  </si>
  <si>
    <t>upper</t>
    <phoneticPr fontId="1" type="noConversion"/>
  </si>
  <si>
    <t>pvalue</t>
    <phoneticPr fontId="1" type="noConversion"/>
  </si>
  <si>
    <t>pvalue(new)</t>
    <phoneticPr fontId="1" type="noConversion"/>
  </si>
  <si>
    <t>pvalue(new)</t>
    <phoneticPr fontId="1" type="noConversion"/>
  </si>
  <si>
    <t>pvalue</t>
    <phoneticPr fontId="1" type="noConversion"/>
  </si>
  <si>
    <t>pvalue(new)</t>
    <phoneticPr fontId="1" type="noConversion"/>
  </si>
  <si>
    <t xml:space="preserve">grouptype002 </t>
  </si>
  <si>
    <t>table11(all cause mortality multivariable)</t>
    <phoneticPr fontId="1" type="noConversion"/>
  </si>
  <si>
    <t>table11(lung cancer mortality multivariable)</t>
    <phoneticPr fontId="1" type="noConversion"/>
  </si>
  <si>
    <t>table11(fine-gray model multivariable)</t>
    <phoneticPr fontId="1" type="noConversion"/>
  </si>
  <si>
    <t>hr</t>
    <phoneticPr fontId="1" type="noConversion"/>
  </si>
  <si>
    <t>pvalue</t>
    <phoneticPr fontId="1" type="noConversion"/>
  </si>
  <si>
    <t>hr(95%ci)</t>
    <phoneticPr fontId="1" type="noConversion"/>
  </si>
  <si>
    <t>table12(all cause mortality univariable)</t>
    <phoneticPr fontId="1" type="noConversion"/>
  </si>
  <si>
    <t>table12(lung cancer mortality univariable)</t>
    <phoneticPr fontId="1" type="noConversion"/>
  </si>
  <si>
    <t>table12(fine-gray model univariable)</t>
    <phoneticPr fontId="1" type="noConversion"/>
  </si>
  <si>
    <t>table12(all cause mortality multivariable)</t>
    <phoneticPr fontId="1" type="noConversion"/>
  </si>
  <si>
    <t>table12(lung cancer mortality multivariable)</t>
    <phoneticPr fontId="1" type="noConversion"/>
  </si>
  <si>
    <t>table12(fine-gray model multivariable)</t>
    <phoneticPr fontId="1" type="noConversion"/>
  </si>
  <si>
    <t>hr</t>
    <phoneticPr fontId="1" type="noConversion"/>
  </si>
  <si>
    <t>lower</t>
    <phoneticPr fontId="1" type="noConversion"/>
  </si>
  <si>
    <t>upper</t>
    <phoneticPr fontId="1" type="noConversion"/>
  </si>
  <si>
    <t>hr(95%ci)</t>
    <phoneticPr fontId="1" type="noConversion"/>
  </si>
  <si>
    <t>pvalue(new)</t>
    <phoneticPr fontId="1" type="noConversion"/>
  </si>
  <si>
    <t>pvalue</t>
    <phoneticPr fontId="1" type="noConversion"/>
  </si>
  <si>
    <t>3.720799e-314</t>
  </si>
  <si>
    <t>table13(all cause mortality univariable)</t>
    <phoneticPr fontId="1" type="noConversion"/>
  </si>
  <si>
    <t>table13(lung cancer mortality univariable)</t>
    <phoneticPr fontId="1" type="noConversion"/>
  </si>
  <si>
    <t>table13(fine-gray model  univariable)</t>
    <phoneticPr fontId="1" type="noConversion"/>
  </si>
  <si>
    <t>hr</t>
    <phoneticPr fontId="1" type="noConversion"/>
  </si>
  <si>
    <t>lower</t>
    <phoneticPr fontId="1" type="noConversion"/>
  </si>
  <si>
    <t>upper</t>
    <phoneticPr fontId="1" type="noConversion"/>
  </si>
  <si>
    <t>pvalue</t>
    <phoneticPr fontId="1" type="noConversion"/>
  </si>
  <si>
    <t>hr(95%ci)</t>
    <phoneticPr fontId="1" type="noConversion"/>
  </si>
  <si>
    <t>pvalue(new)</t>
    <phoneticPr fontId="1" type="noConversion"/>
  </si>
  <si>
    <t>table13(all cause mortality multivariable)</t>
    <phoneticPr fontId="1" type="noConversion"/>
  </si>
  <si>
    <t>table13(lung mortality multivariable)</t>
    <phoneticPr fontId="1" type="noConversion"/>
  </si>
  <si>
    <t>table13(fine gray model multivariable)</t>
    <phoneticPr fontId="1" type="noConversion"/>
  </si>
  <si>
    <t>AGE</t>
    <phoneticPr fontId="1" type="noConversion"/>
  </si>
  <si>
    <t>total</t>
    <phoneticPr fontId="1" type="noConversion"/>
  </si>
  <si>
    <t>group001</t>
    <phoneticPr fontId="1" type="noConversion"/>
  </si>
  <si>
    <t>group002</t>
    <phoneticPr fontId="1" type="noConversion"/>
  </si>
  <si>
    <t>group003</t>
    <phoneticPr fontId="1" type="noConversion"/>
  </si>
  <si>
    <t>67.4 ± 7.8</t>
  </si>
  <si>
    <t>67.8±7.3</t>
  </si>
  <si>
    <t>67.0±8.1</t>
  </si>
  <si>
    <t>67.3±8.2</t>
  </si>
  <si>
    <t>AGE_GROUP</t>
  </si>
  <si>
    <t>50-59</t>
  </si>
  <si>
    <t>14408(18.6%)</t>
  </si>
  <si>
    <t>60-69</t>
  </si>
  <si>
    <t>28698(37.0%)</t>
  </si>
  <si>
    <t>70-80</t>
  </si>
  <si>
    <t>34448(44.4%)</t>
  </si>
  <si>
    <t>4764(15.0%)</t>
  </si>
  <si>
    <t>2750(21.6%)</t>
  </si>
  <si>
    <t>6894(20.9%)</t>
  </si>
  <si>
    <t>12929(40.7%)</t>
  </si>
  <si>
    <t>4542(35.7%)</t>
  </si>
  <si>
    <t>11227(34.0%)</t>
  </si>
  <si>
    <t>14111(44.4%)</t>
  </si>
  <si>
    <t>5443(42.7%)</t>
  </si>
  <si>
    <t>14894(45.1%)</t>
  </si>
  <si>
    <t>SEX</t>
  </si>
  <si>
    <t>55103(71.1%)</t>
  </si>
  <si>
    <t>22451(28.9%)</t>
  </si>
  <si>
    <t>31277(98.3%)</t>
  </si>
  <si>
    <t>11615(91.2%)</t>
  </si>
  <si>
    <t>12211(37.0%)</t>
  </si>
  <si>
    <t>527(1.7%)</t>
  </si>
  <si>
    <t>1120(8.8%)</t>
  </si>
  <si>
    <t>20804(63.0%)</t>
  </si>
  <si>
    <t>Ex-smoker</t>
  </si>
  <si>
    <t>Never-smoker</t>
  </si>
  <si>
    <t>Smoking status</t>
    <phoneticPr fontId="1" type="noConversion"/>
  </si>
  <si>
    <t>33015(42.6%)</t>
  </si>
  <si>
    <t>21311(27.5%)</t>
  </si>
  <si>
    <t>Currentsmoker</t>
  </si>
  <si>
    <t>23228(30.0%)</t>
  </si>
  <si>
    <t>0(0.0%)</t>
  </si>
  <si>
    <t>33015(100.0%)</t>
  </si>
  <si>
    <t>14631(46.0%)</t>
  </si>
  <si>
    <t>6680(52.5%)</t>
  </si>
  <si>
    <t>17173(54.0%)</t>
  </si>
  <si>
    <t>6055(47.5%)</t>
  </si>
  <si>
    <t>17.8±22.2</t>
  </si>
  <si>
    <t>39.4±19.2</t>
  </si>
  <si>
    <t>9.7±5.1</t>
  </si>
  <si>
    <t>0.0±0.0</t>
  </si>
  <si>
    <t>23.3±2.7</t>
  </si>
  <si>
    <t>23.1±2.6</t>
  </si>
  <si>
    <t>23.5±2.7</t>
  </si>
  <si>
    <t>income</t>
  </si>
  <si>
    <t>15075(19.4%)</t>
  </si>
  <si>
    <t>10013(12.9%)</t>
  </si>
  <si>
    <t>11785(15.2%)</t>
  </si>
  <si>
    <t>16603(21.4%)</t>
  </si>
  <si>
    <t>24078(31.0%)</t>
  </si>
  <si>
    <t>6352(20.0%)</t>
  </si>
  <si>
    <t>2554(20.1%)</t>
  </si>
  <si>
    <t>6169(18.7%)</t>
  </si>
  <si>
    <t>4295(13.5%)</t>
  </si>
  <si>
    <t>1735(13.6%)</t>
  </si>
  <si>
    <t>3983(12.1%)</t>
  </si>
  <si>
    <t>4985(15.7%)</t>
  </si>
  <si>
    <t>2048(16.1%)</t>
  </si>
  <si>
    <t>4752(14.4%)</t>
  </si>
  <si>
    <t>7017(22.1%)</t>
  </si>
  <si>
    <t>2634(20.7%)</t>
  </si>
  <si>
    <t>6952(21.1%)</t>
  </si>
  <si>
    <t>9155(28.8%)</t>
  </si>
  <si>
    <t>3764(29.6%)</t>
  </si>
  <si>
    <t>11159(33.8%)</t>
  </si>
  <si>
    <t>cci_group</t>
  </si>
  <si>
    <t>&gt;=5</t>
  </si>
  <si>
    <t>11275(14.5%)</t>
  </si>
  <si>
    <t>15665(20.2%)</t>
  </si>
  <si>
    <t>42257(54.5%)</t>
  </si>
  <si>
    <t>8357(10.8%)</t>
  </si>
  <si>
    <t>0</t>
    <phoneticPr fontId="1" type="noConversion"/>
  </si>
  <si>
    <t>1-2</t>
    <phoneticPr fontId="1" type="noConversion"/>
  </si>
  <si>
    <t>3-4</t>
    <phoneticPr fontId="1" type="noConversion"/>
  </si>
  <si>
    <t>4794(15.1%)</t>
  </si>
  <si>
    <t>1933(15.2%)</t>
  </si>
  <si>
    <t>4548(13.8%)</t>
  </si>
  <si>
    <t>5600(17.6%)</t>
  </si>
  <si>
    <t>2671(21.0%)</t>
  </si>
  <si>
    <t>7394(22.4%)</t>
  </si>
  <si>
    <t>17680(55.6%)</t>
  </si>
  <si>
    <t>6798(53.4%)</t>
  </si>
  <si>
    <t>17779(53.9%)</t>
  </si>
  <si>
    <t>3730(11.7%)</t>
  </si>
  <si>
    <t>1333(10.5%)</t>
  </si>
  <si>
    <t>3294(10.0%)</t>
  </si>
  <si>
    <t>activity</t>
  </si>
  <si>
    <t>active</t>
  </si>
  <si>
    <t>18252(23.5%)</t>
  </si>
  <si>
    <t>inactive</t>
  </si>
  <si>
    <t>59302(76.5%)</t>
  </si>
  <si>
    <t>7168(22.5%)</t>
  </si>
  <si>
    <t>3556(27.9%)</t>
  </si>
  <si>
    <t>7528(22.8%)</t>
  </si>
  <si>
    <t>24636(77.5%)</t>
  </si>
  <si>
    <t>9179(72.1%)</t>
  </si>
  <si>
    <t>25487(77.2%)</t>
  </si>
  <si>
    <t>mcode_grp</t>
    <phoneticPr fontId="1" type="noConversion"/>
  </si>
  <si>
    <t>Adenocarcinoma</t>
  </si>
  <si>
    <t>37175(47.9%)</t>
  </si>
  <si>
    <t>18208(23.5%)</t>
  </si>
  <si>
    <t>654(0.8%)</t>
  </si>
  <si>
    <t>431(0.6%)</t>
  </si>
  <si>
    <t>639(0.8%)</t>
  </si>
  <si>
    <t>11727(15.1%)</t>
  </si>
  <si>
    <t>8720(11.2%)</t>
  </si>
  <si>
    <t>Squamouscellcarcinoma</t>
  </si>
  <si>
    <t>Adenosquamouscarcinoma</t>
  </si>
  <si>
    <t>Sarcomatoidcarcinoma</t>
  </si>
  <si>
    <t>Largecellcarcinoma</t>
  </si>
  <si>
    <t>Others,NOS</t>
  </si>
  <si>
    <t>Smallcellcracinoma</t>
  </si>
  <si>
    <t>10078(31.7%)</t>
  </si>
  <si>
    <t>5504(43.2%)</t>
  </si>
  <si>
    <t>21593(65.4%)</t>
  </si>
  <si>
    <t>287(0.9%)</t>
  </si>
  <si>
    <t>104(0.8%)</t>
  </si>
  <si>
    <t>263(0.8%)</t>
  </si>
  <si>
    <t>384(1.2%)</t>
  </si>
  <si>
    <t>99(0.8%)</t>
  </si>
  <si>
    <t>156(0.5%)</t>
  </si>
  <si>
    <t>4710(14.8%)</t>
  </si>
  <si>
    <t>2021(15.9%)</t>
  </si>
  <si>
    <t>4996(15.1%)</t>
  </si>
  <si>
    <t>202(0.6%)</t>
  </si>
  <si>
    <t>83(0.7%)</t>
  </si>
  <si>
    <t>146(0.4%)</t>
  </si>
  <si>
    <t>5218(16.4%)</t>
  </si>
  <si>
    <t>1598(12.5%)</t>
  </si>
  <si>
    <t>1904(5.8%)</t>
  </si>
  <si>
    <t>10925(34.4%)</t>
  </si>
  <si>
    <t>3326(26.1%)</t>
  </si>
  <si>
    <t>3957(12.0%)</t>
  </si>
  <si>
    <t>SEER_GRP</t>
  </si>
  <si>
    <t>20059(25.9%)</t>
  </si>
  <si>
    <t>22504(29.0%)</t>
  </si>
  <si>
    <t>30448(39.3%)</t>
  </si>
  <si>
    <t>4543(5.9%)</t>
  </si>
  <si>
    <t>6697(21.1%)</t>
  </si>
  <si>
    <t>2941(23.1%)</t>
  </si>
  <si>
    <t>10421(31.6%)</t>
  </si>
  <si>
    <t>10175(32.0%)</t>
  </si>
  <si>
    <t>3761(29.5%)</t>
  </si>
  <si>
    <t>8568(26.0%)</t>
  </si>
  <si>
    <t>13023(40.9%)</t>
  </si>
  <si>
    <t>5233(41.1%)</t>
  </si>
  <si>
    <t>12192(36.9%)</t>
  </si>
  <si>
    <t>1909(6.0%)</t>
  </si>
  <si>
    <t>800(6.3%)</t>
  </si>
  <si>
    <t>1834(5.6%)</t>
  </si>
  <si>
    <t>surgery_yn</t>
  </si>
  <si>
    <t>30408(39.2%)</t>
    <phoneticPr fontId="1" type="noConversion"/>
  </si>
  <si>
    <t>10345(32.5%)</t>
  </si>
  <si>
    <t>4630(36.4%)</t>
  </si>
  <si>
    <t>15433(46.7%)</t>
  </si>
  <si>
    <t>radio_yn</t>
  </si>
  <si>
    <t>14764(19.0%)</t>
    <phoneticPr fontId="1" type="noConversion"/>
  </si>
  <si>
    <t>7278(22.9%)</t>
  </si>
  <si>
    <t>2566(20.1%)</t>
  </si>
  <si>
    <t>4920(14.9%)</t>
  </si>
  <si>
    <t>system_yn</t>
  </si>
  <si>
    <t>34583(44.6%)</t>
    <phoneticPr fontId="1" type="noConversion"/>
  </si>
  <si>
    <t>15731(49.5%)</t>
  </si>
  <si>
    <t>5985(47.0%)</t>
  </si>
  <si>
    <t>12867(39.0%)</t>
  </si>
  <si>
    <t>table1&amp;2(77554)</t>
    <phoneticPr fontId="1" type="noConversion"/>
  </si>
  <si>
    <t>table1&amp;2(89860)</t>
    <phoneticPr fontId="1" type="noConversion"/>
  </si>
  <si>
    <t>67.8±10.2</t>
    <phoneticPr fontId="1" type="noConversion"/>
  </si>
  <si>
    <t>40-49</t>
    <phoneticPr fontId="1" type="noConversion"/>
  </si>
  <si>
    <t>&lt;40</t>
    <phoneticPr fontId="1" type="noConversion"/>
  </si>
  <si>
    <t>&gt;=80</t>
    <phoneticPr fontId="1" type="noConversion"/>
  </si>
  <si>
    <t>606(0.7%)</t>
  </si>
  <si>
    <t>8074(9.0%)</t>
  </si>
  <si>
    <t>3626(4.0%)</t>
  </si>
  <si>
    <t>14408(16.0%)</t>
  </si>
  <si>
    <t>28698(31.9%)</t>
  </si>
  <si>
    <t>34448(38.3%)</t>
  </si>
  <si>
    <t>0(0.0%)</t>
    <phoneticPr fontId="1" type="noConversion"/>
  </si>
  <si>
    <t>63003(70.1%)</t>
  </si>
  <si>
    <t>26857(29.9%)</t>
  </si>
  <si>
    <t xml:space="preserve">39627(44.1%) </t>
    <phoneticPr fontId="1" type="noConversion"/>
  </si>
  <si>
    <t>24376(27.1%)</t>
    <phoneticPr fontId="1" type="noConversion"/>
  </si>
  <si>
    <t>25857(28.8%)</t>
    <phoneticPr fontId="1" type="noConversion"/>
  </si>
  <si>
    <t>16.9±21.9</t>
    <phoneticPr fontId="1" type="noConversion"/>
  </si>
  <si>
    <t>23.2±2.7</t>
    <phoneticPr fontId="1" type="noConversion"/>
  </si>
  <si>
    <t>17053(19.0%)</t>
  </si>
  <si>
    <t>11368(12.7%)</t>
  </si>
  <si>
    <t>13591(15.1%)</t>
  </si>
  <si>
    <t>18991(21.1%)</t>
  </si>
  <si>
    <t>28857(32.1%)</t>
  </si>
  <si>
    <t>18360(20.4%)</t>
  </si>
  <si>
    <t>13223(14.7%)</t>
  </si>
  <si>
    <t>48444(53.9%)</t>
  </si>
  <si>
    <t>9833(10.9%)</t>
  </si>
  <si>
    <t>20334(22.6%)</t>
  </si>
  <si>
    <t>69526(77.4%)</t>
  </si>
  <si>
    <t>42519(47.3%)</t>
  </si>
  <si>
    <t>721(0.8%)</t>
  </si>
  <si>
    <t>709(0.8%)</t>
  </si>
  <si>
    <t>15370(17.1%)</t>
  </si>
  <si>
    <t>507(0.6%)</t>
  </si>
  <si>
    <t>9641(10.7%)</t>
  </si>
  <si>
    <t>20393(22.7%)</t>
  </si>
  <si>
    <t>22919(25.5%)</t>
  </si>
  <si>
    <t>25178(28.0%)</t>
  </si>
  <si>
    <t>35677(39.7%)</t>
  </si>
  <si>
    <t>6086(6.8%)</t>
  </si>
  <si>
    <t>33391(37.2%)</t>
  </si>
  <si>
    <t>33391(37.2%)</t>
    <phoneticPr fontId="1" type="noConversion"/>
  </si>
  <si>
    <t>16606(18.5%)</t>
  </si>
  <si>
    <t>16606(18.5%)</t>
    <phoneticPr fontId="1" type="noConversion"/>
  </si>
  <si>
    <t>37907(42.2%)</t>
    <phoneticPr fontId="1" type="noConversion"/>
  </si>
  <si>
    <t>0(0.0%)</t>
    <phoneticPr fontId="1" type="noConversion"/>
  </si>
  <si>
    <t>68.0±7.5</t>
  </si>
  <si>
    <t>65.9±8.2</t>
  </si>
  <si>
    <t>8571(15.6%)</t>
  </si>
  <si>
    <t>5837(26.0%)</t>
  </si>
  <si>
    <t>20586(37.4%)</t>
  </si>
  <si>
    <t>8112(36.1%)</t>
  </si>
  <si>
    <t>25946(47.1%)</t>
  </si>
  <si>
    <t>8502(37.9%)</t>
  </si>
  <si>
    <t>55103(100.0%)</t>
    <phoneticPr fontId="1" type="noConversion"/>
  </si>
  <si>
    <t>0(0.0%)</t>
    <phoneticPr fontId="1" type="noConversion"/>
  </si>
  <si>
    <t>22451(100.0%)</t>
    <phoneticPr fontId="1" type="noConversion"/>
  </si>
  <si>
    <t>12211(22.2%)</t>
  </si>
  <si>
    <t>20804(92.7%)</t>
  </si>
  <si>
    <t>20763(37.7%)</t>
  </si>
  <si>
    <t>22129(40.2%)</t>
  </si>
  <si>
    <t>548(2.4%)</t>
  </si>
  <si>
    <t>1099(4.9%)</t>
  </si>
  <si>
    <t>24.6±22.8</t>
  </si>
  <si>
    <t>1.1±5.6</t>
  </si>
  <si>
    <t>23.6±2.8</t>
  </si>
  <si>
    <t>10443(19.0%)</t>
  </si>
  <si>
    <t>4632(20.6%)</t>
  </si>
  <si>
    <t>7277(13.2%)</t>
  </si>
  <si>
    <t>2736(12.2%)</t>
  </si>
  <si>
    <t>8559(15.5%)</t>
  </si>
  <si>
    <t>3226(14.4%)</t>
  </si>
  <si>
    <t>12025(21.8%)</t>
  </si>
  <si>
    <t>4578(20.4%)</t>
  </si>
  <si>
    <t>16799(30.5%)</t>
  </si>
  <si>
    <t>7279(32.4%)</t>
  </si>
  <si>
    <t>10252(18.6%)</t>
  </si>
  <si>
    <t>5413(24.1%)</t>
  </si>
  <si>
    <t>30048(54.5%)</t>
  </si>
  <si>
    <t>12209(54.4%)</t>
  </si>
  <si>
    <t>6400(11.6%)</t>
  </si>
  <si>
    <t>1957(8.7%)</t>
  </si>
  <si>
    <t>8403(15.2%)</t>
  </si>
  <si>
    <t>2872(12.8%)</t>
  </si>
  <si>
    <t>13483(24.5%)</t>
  </si>
  <si>
    <t>4769(21.2%)</t>
  </si>
  <si>
    <t>41620(75.5%)</t>
  </si>
  <si>
    <t>17682(78.8%)</t>
  </si>
  <si>
    <t>20546(37.3%)</t>
  </si>
  <si>
    <t>16629(74.1%)</t>
  </si>
  <si>
    <t>17088(31.0%)</t>
  </si>
  <si>
    <t>1120(5.0%)</t>
  </si>
  <si>
    <t>495(0.9%)</t>
  </si>
  <si>
    <t>159(0.7%)</t>
  </si>
  <si>
    <t>329(0.6%)</t>
  </si>
  <si>
    <t>102(0.5%)</t>
  </si>
  <si>
    <t>596(1.1%)</t>
  </si>
  <si>
    <t>43(0.2%)</t>
  </si>
  <si>
    <t>8376(15.2%)</t>
  </si>
  <si>
    <t>3351(14.9%)</t>
  </si>
  <si>
    <t>7673(13.9%)</t>
  </si>
  <si>
    <t>1047(4.7%)</t>
  </si>
  <si>
    <t>12269(22.3%)</t>
  </si>
  <si>
    <t>7790(34.7%)</t>
  </si>
  <si>
    <t>16881(30.6%)</t>
  </si>
  <si>
    <t>5623(25.0%)</t>
  </si>
  <si>
    <t>22550(40.9%)</t>
  </si>
  <si>
    <t>7898(35.2%)</t>
  </si>
  <si>
    <t>3403(6.2%)</t>
  </si>
  <si>
    <t>1140(5.1%)</t>
  </si>
  <si>
    <t>18833(34.2%)</t>
  </si>
  <si>
    <t>11575(51.6%)</t>
  </si>
  <si>
    <t>11762(21.3%)</t>
  </si>
  <si>
    <t>3002(13.4%)</t>
  </si>
  <si>
    <t>26072(47.3%)</t>
  </si>
  <si>
    <t>8511(37.9%)</t>
  </si>
  <si>
    <t>table1&amp;2(77554 sex)</t>
    <phoneticPr fontId="1" type="noConversion"/>
  </si>
  <si>
    <t>table3-3&amp;3-4(89860 sex)</t>
    <phoneticPr fontId="1" type="noConversion"/>
  </si>
  <si>
    <t>68.6±9.7</t>
  </si>
  <si>
    <t>66.0±11.1</t>
  </si>
  <si>
    <t>361(0.6%)</t>
  </si>
  <si>
    <t>245(0.9%)</t>
  </si>
  <si>
    <t>1873(3.0%)</t>
  </si>
  <si>
    <t>1753(6.5%)</t>
  </si>
  <si>
    <t>8571(13.6%)</t>
  </si>
  <si>
    <t>5837(21.7%)</t>
  </si>
  <si>
    <t>20586(32.7%)</t>
  </si>
  <si>
    <t>8112(30.2%)</t>
  </si>
  <si>
    <t>25946(41.2%)</t>
  </si>
  <si>
    <t>8502(31.7%)</t>
  </si>
  <si>
    <t>5666(9.0%)</t>
  </si>
  <si>
    <t>2408(9.0%)</t>
  </si>
  <si>
    <t>63003(100.0%)</t>
    <phoneticPr fontId="1" type="noConversion"/>
  </si>
  <si>
    <t>0(0.0%)</t>
    <phoneticPr fontId="1" type="noConversion"/>
  </si>
  <si>
    <t>26857(100.0%)</t>
    <phoneticPr fontId="1" type="noConversion"/>
  </si>
  <si>
    <t>14828(23.5%)</t>
  </si>
  <si>
    <t>24799(92.3%)</t>
  </si>
  <si>
    <t>23663(37.6%)</t>
  </si>
  <si>
    <t>713(2.7%)</t>
  </si>
  <si>
    <t>24512(38.9%)</t>
  </si>
  <si>
    <t>1345(5.0%)</t>
  </si>
  <si>
    <t>23.7±22.8</t>
  </si>
  <si>
    <t>23.5±2.8</t>
  </si>
  <si>
    <t>5550(20.7%)</t>
  </si>
  <si>
    <t>8033(12.8%)</t>
  </si>
  <si>
    <t>3335(12.4%)</t>
  </si>
  <si>
    <t>9683(15.4%)</t>
  </si>
  <si>
    <t>3908(14.6%)</t>
  </si>
  <si>
    <t>13589(21.6%)</t>
  </si>
  <si>
    <t>5402(20.1%)</t>
  </si>
  <si>
    <t>20195(32.1%)</t>
  </si>
  <si>
    <t>8662(32.3%)</t>
  </si>
  <si>
    <t>11822(18.8%)</t>
  </si>
  <si>
    <t>6538(24.3%)</t>
  </si>
  <si>
    <t>34026(54.0%)</t>
  </si>
  <si>
    <t>14418(53.7%)</t>
  </si>
  <si>
    <t>7452(11.8%)</t>
  </si>
  <si>
    <t>2381(8.9%)</t>
  </si>
  <si>
    <t>9703(15.4%)</t>
  </si>
  <si>
    <t>3520(13.1%)</t>
  </si>
  <si>
    <t>14945(23.7%)</t>
  </si>
  <si>
    <t>5389(20.1%)</t>
  </si>
  <si>
    <t>48058(76.3%)</t>
  </si>
  <si>
    <t>21468(79.9%)</t>
  </si>
  <si>
    <t>23314(37.0%)</t>
  </si>
  <si>
    <t>19205(71.5%)</t>
  </si>
  <si>
    <t>19007(30.2%)</t>
  </si>
  <si>
    <t>1386(5.2%)</t>
  </si>
  <si>
    <t>178(0.7%)</t>
  </si>
  <si>
    <t>543(0.9%)</t>
    <phoneticPr fontId="1" type="noConversion"/>
  </si>
  <si>
    <t>375(0.6%)</t>
  </si>
  <si>
    <t>132(0.5%)</t>
  </si>
  <si>
    <t>655(1.0%)</t>
  </si>
  <si>
    <t>54(0.2%)</t>
  </si>
  <si>
    <t>10701(17.0%)</t>
  </si>
  <si>
    <t>4669(17.4%)</t>
  </si>
  <si>
    <t>8408(13.3%)</t>
  </si>
  <si>
    <t>1233(4.6%)</t>
  </si>
  <si>
    <t>13964(22.2%)</t>
  </si>
  <si>
    <t>8955(33.3%)</t>
  </si>
  <si>
    <t>18691(29.7%)</t>
  </si>
  <si>
    <t>6487(24.2%)</t>
  </si>
  <si>
    <t>25930(41.2%)</t>
  </si>
  <si>
    <t>9747(36.3%)</t>
  </si>
  <si>
    <t>4418(7.0%)</t>
  </si>
  <si>
    <t>1668(6.2%)</t>
  </si>
  <si>
    <t>20418(32.4%)</t>
  </si>
  <si>
    <t>12973(48.3%)</t>
  </si>
  <si>
    <t>13098(20.8%)</t>
  </si>
  <si>
    <t>3508(13.1%)</t>
  </si>
  <si>
    <t>28187(44.7%)</t>
  </si>
  <si>
    <t>9720(36.2%)</t>
  </si>
  <si>
    <t>table4-1&amp;4-2(data11)</t>
    <phoneticPr fontId="1" type="noConversion"/>
  </si>
  <si>
    <t>67.5±7.5</t>
    <phoneticPr fontId="1" type="noConversion"/>
  </si>
  <si>
    <t>65.5±8.1</t>
  </si>
  <si>
    <t>67.8±7.4</t>
  </si>
  <si>
    <t>7514(16.9%)</t>
  </si>
  <si>
    <t>17471(39.2%)</t>
  </si>
  <si>
    <t>19554(43.9%)</t>
  </si>
  <si>
    <t>1371(26.6%)</t>
  </si>
  <si>
    <t>6143(15.6%)</t>
  </si>
  <si>
    <t>1969(38.2%)</t>
  </si>
  <si>
    <t>15502(39.4%)</t>
  </si>
  <si>
    <t>1816(35.2%)</t>
  </si>
  <si>
    <t>17738(45.0%)</t>
  </si>
  <si>
    <t>42892(96.3%)</t>
  </si>
  <si>
    <t>1647(3.7%)</t>
  </si>
  <si>
    <t>4549(88.2%)</t>
  </si>
  <si>
    <t>38343(97.4%)</t>
  </si>
  <si>
    <t>607(11.8%)</t>
  </si>
  <si>
    <t>1040(2.6%)</t>
  </si>
  <si>
    <t>21311(47.8%)</t>
  </si>
  <si>
    <t>23228(52.2%)</t>
  </si>
  <si>
    <t>3696(71.7%)</t>
  </si>
  <si>
    <t>17615(44.7%)</t>
  </si>
  <si>
    <t>1460(28.3%)</t>
  </si>
  <si>
    <t>21768(55.3%)</t>
  </si>
  <si>
    <t>30.9±21.2</t>
    <phoneticPr fontId="1" type="noConversion"/>
  </si>
  <si>
    <t>7.0±5.8</t>
  </si>
  <si>
    <t>34.1±20.5</t>
  </si>
  <si>
    <t>23.1±2.6</t>
    <phoneticPr fontId="1" type="noConversion"/>
  </si>
  <si>
    <t>23.4±2.6</t>
  </si>
  <si>
    <t>23.0±2.6</t>
  </si>
  <si>
    <t>8906(20.0%)</t>
  </si>
  <si>
    <t>7033(15.8%)</t>
  </si>
  <si>
    <t>12919(29.0%)</t>
  </si>
  <si>
    <t>1040(20.2%)</t>
  </si>
  <si>
    <t>7866(20.0%)</t>
  </si>
  <si>
    <t>735(14.3%)</t>
  </si>
  <si>
    <t>5295(13.4%)</t>
  </si>
  <si>
    <t>825(16.0%)</t>
  </si>
  <si>
    <t>6208(15.8%)</t>
  </si>
  <si>
    <t>1033(20.0%)</t>
  </si>
  <si>
    <t>8618(21.9%)</t>
  </si>
  <si>
    <t>1523(29.5%)</t>
  </si>
  <si>
    <t>11396(28.9%)</t>
  </si>
  <si>
    <t>8271(18.6%)</t>
  </si>
  <si>
    <t>24478(55.0%)</t>
  </si>
  <si>
    <t>5063(11.4%)</t>
  </si>
  <si>
    <t>6727(15.1%)</t>
  </si>
  <si>
    <t>1172(22.7%)</t>
  </si>
  <si>
    <t>7099(18.0%)</t>
  </si>
  <si>
    <t>2697(52.3%)</t>
  </si>
  <si>
    <t>21781(55.3%)</t>
  </si>
  <si>
    <t>507(9.8%)</t>
  </si>
  <si>
    <t>4556(11.6%)</t>
  </si>
  <si>
    <t>780(15.1%)</t>
  </si>
  <si>
    <t>5947(15.1%)</t>
  </si>
  <si>
    <t>10724(24.1%)</t>
  </si>
  <si>
    <t>33815(75.9%)</t>
  </si>
  <si>
    <t>1532(29.7%)</t>
  </si>
  <si>
    <t>9192(23.3%)</t>
  </si>
  <si>
    <t>3624(70.3%)</t>
  </si>
  <si>
    <t>30191(76.7%)</t>
  </si>
  <si>
    <t>15582(35.0%)</t>
  </si>
  <si>
    <t>14251(32.0%)</t>
  </si>
  <si>
    <t>391(0.9%)</t>
  </si>
  <si>
    <t>285(0.6%)</t>
  </si>
  <si>
    <t>483(1.1%)</t>
  </si>
  <si>
    <t>6731(15.1%)</t>
  </si>
  <si>
    <t>6816(15.3%)</t>
  </si>
  <si>
    <t>2573(49.9%)</t>
  </si>
  <si>
    <t>13009(33.0%)</t>
  </si>
  <si>
    <t>1107(21.5%)</t>
  </si>
  <si>
    <t>13144(33.4%)</t>
  </si>
  <si>
    <t>37(0.7%)</t>
  </si>
  <si>
    <t>354(0.9%)</t>
  </si>
  <si>
    <t>40(0.8%)</t>
  </si>
  <si>
    <t>245(0.6%)</t>
  </si>
  <si>
    <t>446(1.1%)</t>
  </si>
  <si>
    <t>814(15.8%)</t>
  </si>
  <si>
    <t>5917(15.0%)</t>
  </si>
  <si>
    <t>548(10.6%)</t>
  </si>
  <si>
    <t>6268(15.9%)</t>
  </si>
  <si>
    <t>9638(21.6%)</t>
  </si>
  <si>
    <t>13936(31.3%)</t>
  </si>
  <si>
    <t>18256(41.0%)</t>
  </si>
  <si>
    <t>2709(6.1%</t>
  </si>
  <si>
    <t>1304(25.3%)</t>
  </si>
  <si>
    <t>8334(21.2%)</t>
  </si>
  <si>
    <t>12476(31.7%)</t>
  </si>
  <si>
    <t>2096(40.7%)</t>
  </si>
  <si>
    <t>16160(41.0%)</t>
  </si>
  <si>
    <t>296(5.7%)</t>
  </si>
  <si>
    <t>2413(6.1%)</t>
  </si>
  <si>
    <t>14975(33.6%)</t>
    <phoneticPr fontId="1" type="noConversion"/>
  </si>
  <si>
    <t>2129(41.3%)</t>
  </si>
  <si>
    <t>12846(32.6%)</t>
  </si>
  <si>
    <t>9844(22.1%)</t>
    <phoneticPr fontId="1" type="noConversion"/>
  </si>
  <si>
    <t>993(19.3%)</t>
  </si>
  <si>
    <t>8851(22.5%)</t>
  </si>
  <si>
    <t>21716(48.8%)</t>
    <phoneticPr fontId="1" type="noConversion"/>
  </si>
  <si>
    <t>2479(48.1%)</t>
  </si>
  <si>
    <t>19237(48.8%)</t>
  </si>
  <si>
    <t>group001</t>
    <phoneticPr fontId="1" type="noConversion"/>
  </si>
  <si>
    <t>group002</t>
    <phoneticPr fontId="1" type="noConversion"/>
  </si>
  <si>
    <t>67.3±7.9</t>
    <phoneticPr fontId="1" type="noConversion"/>
  </si>
  <si>
    <t>710(2.2%)</t>
  </si>
  <si>
    <t>4764(14.7%)</t>
  </si>
  <si>
    <t>12929(39.8%)</t>
  </si>
  <si>
    <t>14111(43.4%)</t>
  </si>
  <si>
    <t>31975(98.3%)</t>
  </si>
  <si>
    <t>539(1.7%)</t>
  </si>
  <si>
    <t>14831(45.6%)</t>
  </si>
  <si>
    <t>17683(54.4%)</t>
  </si>
  <si>
    <t>39.2±19.1</t>
    <phoneticPr fontId="1" type="noConversion"/>
  </si>
  <si>
    <t>23.1±2.6</t>
    <phoneticPr fontId="1" type="noConversion"/>
  </si>
  <si>
    <t>6459(19.9%)</t>
  </si>
  <si>
    <t>5126(15.8%)</t>
  </si>
  <si>
    <t>7177(22.1%)</t>
  </si>
  <si>
    <t>9376(28.8%)</t>
  </si>
  <si>
    <t>5864(18.0%)</t>
  </si>
  <si>
    <t>18010(55.4%)</t>
  </si>
  <si>
    <t>3749(11.5%)</t>
  </si>
  <si>
    <t>4891(15.0%)</t>
  </si>
  <si>
    <t>7291(22.4%)</t>
  </si>
  <si>
    <t>25223(77.6%)</t>
  </si>
  <si>
    <t>10443(32.1%)</t>
  </si>
  <si>
    <t>11043(34.0%)</t>
    <phoneticPr fontId="1" type="noConversion"/>
  </si>
  <si>
    <t>294(0.9%)</t>
  </si>
  <si>
    <t>210(0.6%)</t>
  </si>
  <si>
    <t>392(1.2%)</t>
  </si>
  <si>
    <t>4833(14.9%)</t>
  </si>
  <si>
    <t>5299(16.3%)</t>
  </si>
  <si>
    <t>6854(21.1%)</t>
  </si>
  <si>
    <t>10391(32.0%)</t>
  </si>
  <si>
    <t>13329(41.0%)</t>
  </si>
  <si>
    <t>1940(6.0%)</t>
  </si>
  <si>
    <t>10648(32.7%)</t>
    <phoneticPr fontId="1" type="noConversion"/>
  </si>
  <si>
    <t>7491(23.0%)</t>
    <phoneticPr fontId="1" type="noConversion"/>
  </si>
  <si>
    <t>16165(49.7%)</t>
    <phoneticPr fontId="1" type="noConversion"/>
  </si>
  <si>
    <t>group001</t>
    <phoneticPr fontId="1" type="noConversion"/>
  </si>
  <si>
    <t>group002</t>
    <phoneticPr fontId="1" type="noConversion"/>
  </si>
  <si>
    <t>46.0±2.6</t>
  </si>
  <si>
    <t>710(100.0%)</t>
  </si>
  <si>
    <t>40-49</t>
    <phoneticPr fontId="1" type="noConversion"/>
  </si>
  <si>
    <t>698(98.3%)</t>
  </si>
  <si>
    <t>12(1.7%)</t>
  </si>
  <si>
    <t>200(28.2%)</t>
  </si>
  <si>
    <t>510(71.8%)</t>
  </si>
  <si>
    <t>27.8±10.3</t>
  </si>
  <si>
    <t>23.8±2.8</t>
  </si>
  <si>
    <t>107(15.1%)</t>
  </si>
  <si>
    <t>81(11.4%)</t>
  </si>
  <si>
    <t>141(19.9%)</t>
  </si>
  <si>
    <t>160(22.5%)</t>
  </si>
  <si>
    <t>221(31.1%)</t>
  </si>
  <si>
    <t>264(37.2%)</t>
  </si>
  <si>
    <t>330(46.5%)</t>
  </si>
  <si>
    <t>19(2.7%)</t>
  </si>
  <si>
    <t>97(13.7%)</t>
  </si>
  <si>
    <t>123(17.3%)</t>
  </si>
  <si>
    <t>587(82.7%)</t>
  </si>
  <si>
    <t>365(51.4%)</t>
  </si>
  <si>
    <t>118(16.6%)</t>
  </si>
  <si>
    <t>7(1.0%)</t>
  </si>
  <si>
    <t>8(1.1%)</t>
  </si>
  <si>
    <t>157(22.1%)</t>
  </si>
  <si>
    <t>216(30.4%)</t>
  </si>
  <si>
    <t>306(43.1%)</t>
  </si>
  <si>
    <t>31(4.4%)</t>
  </si>
  <si>
    <t>303(42.7%)</t>
  </si>
  <si>
    <t>213(30.0%)</t>
  </si>
  <si>
    <t>434(61.1%)</t>
  </si>
  <si>
    <t>table6-1&amp;6-2(data4)</t>
    <phoneticPr fontId="1" type="noConversion"/>
  </si>
  <si>
    <t>table5-1&amp;5-2(data3)</t>
    <phoneticPr fontId="1" type="noConversion"/>
  </si>
  <si>
    <t>65.4±9.6</t>
    <phoneticPr fontId="1" type="noConversion"/>
  </si>
  <si>
    <t>45.1±2.8</t>
  </si>
  <si>
    <t>947(6.9%)</t>
  </si>
  <si>
    <t>2750(20.1%)</t>
  </si>
  <si>
    <t>4542(33.2%)</t>
  </si>
  <si>
    <t>5443(39.8%)</t>
  </si>
  <si>
    <t>947(100.0%)</t>
  </si>
  <si>
    <t>12434(90.9%)</t>
  </si>
  <si>
    <t>1248(9.1%)</t>
  </si>
  <si>
    <t>819(86.5%)</t>
  </si>
  <si>
    <t>128(13.5%)</t>
  </si>
  <si>
    <t>7087(51.8%)</t>
  </si>
  <si>
    <t>6595(48.2%)</t>
  </si>
  <si>
    <t>407(43.0%)</t>
  </si>
  <si>
    <t>540(57.0%)</t>
  </si>
  <si>
    <t>9.7±5.1</t>
    <phoneticPr fontId="1" type="noConversion"/>
  </si>
  <si>
    <t>9.3±5.0</t>
  </si>
  <si>
    <t>2698(19.7%)</t>
  </si>
  <si>
    <t>1847(13.5%)</t>
  </si>
  <si>
    <t>2186(16.0%)</t>
  </si>
  <si>
    <t>2859(20.9%)</t>
  </si>
  <si>
    <t>4092(29.9%)</t>
  </si>
  <si>
    <t>144(15.2%)</t>
  </si>
  <si>
    <t>112(11.8%)</t>
  </si>
  <si>
    <t>138(14.6%)</t>
  </si>
  <si>
    <t>225(23.8%)</t>
  </si>
  <si>
    <t>328(34.6%)</t>
  </si>
  <si>
    <t>3078(22.5%)</t>
  </si>
  <si>
    <t>7201(52.6%)</t>
  </si>
  <si>
    <t>1366(10.0%)</t>
  </si>
  <si>
    <t>2037(14.9%)</t>
  </si>
  <si>
    <t>403(42.6%)</t>
  </si>
  <si>
    <t>104(11.0%)</t>
  </si>
  <si>
    <t>33(3.5%)</t>
  </si>
  <si>
    <t>3777(27.6%)</t>
  </si>
  <si>
    <t>9905(72.4%)</t>
  </si>
  <si>
    <t>221(23.3%)</t>
  </si>
  <si>
    <t>726(76.7%)</t>
  </si>
  <si>
    <t>6135(44.8%)</t>
  </si>
  <si>
    <t>3412(24.9%)</t>
  </si>
  <si>
    <t>110(0.8%)</t>
  </si>
  <si>
    <t>93(0.7%)</t>
  </si>
  <si>
    <t>111(0.8%)</t>
  </si>
  <si>
    <t>2178(15.9%)</t>
  </si>
  <si>
    <t>1643(12.0%)</t>
  </si>
  <si>
    <t>631(66.6%)</t>
  </si>
  <si>
    <t>86(9.1%)</t>
  </si>
  <si>
    <t>6(0.6%)</t>
  </si>
  <si>
    <t>10(1.1%)</t>
  </si>
  <si>
    <t>12(1.3%)</t>
  </si>
  <si>
    <t>157(16.6%)</t>
  </si>
  <si>
    <t>45(4.8%)</t>
  </si>
  <si>
    <t>1598(12.5%)</t>
    <phoneticPr fontId="1" type="noConversion"/>
  </si>
  <si>
    <t>3216(23.5%)</t>
  </si>
  <si>
    <t>4009(29.3%)</t>
  </si>
  <si>
    <t>5619(41.1%)</t>
  </si>
  <si>
    <t>838(6.1%)</t>
  </si>
  <si>
    <t>275(29.0%)</t>
  </si>
  <si>
    <t>248(26.2%)</t>
  </si>
  <si>
    <t>386(40.8%)</t>
  </si>
  <si>
    <t>38(4.0%)</t>
  </si>
  <si>
    <t>5086(37.2%)</t>
    <phoneticPr fontId="1" type="noConversion"/>
  </si>
  <si>
    <t>456(48.2%)</t>
  </si>
  <si>
    <t>2756(20.1%)</t>
    <phoneticPr fontId="1" type="noConversion"/>
  </si>
  <si>
    <t>190(20.1%)</t>
  </si>
  <si>
    <t>6480(47.4%)</t>
    <phoneticPr fontId="1" type="noConversion"/>
  </si>
  <si>
    <t>495(52.3%)</t>
  </si>
  <si>
    <t>66.1±9.4</t>
    <phoneticPr fontId="1" type="noConversion"/>
  </si>
  <si>
    <t>table7-1&amp;7-2(data5)</t>
    <phoneticPr fontId="1" type="noConversion"/>
  </si>
  <si>
    <t>1969(5.6%)</t>
  </si>
  <si>
    <t>6894(19.7%)</t>
  </si>
  <si>
    <t>11227(32.1%)</t>
  </si>
  <si>
    <t>14894(42.6%)</t>
  </si>
  <si>
    <t>12567(35.9%)</t>
  </si>
  <si>
    <t>22417(64.1%)</t>
  </si>
  <si>
    <t>34984(100.0%)</t>
    <phoneticPr fontId="1" type="noConversion"/>
  </si>
  <si>
    <t>0(0.0%)</t>
    <phoneticPr fontId="1" type="noConversion"/>
  </si>
  <si>
    <t>0(0.0%)</t>
    <phoneticPr fontId="1" type="noConversion"/>
  </si>
  <si>
    <t>6544(18.7%)</t>
  </si>
  <si>
    <t>4277(12.2%)</t>
  </si>
  <si>
    <t>5079(14.5%)</t>
  </si>
  <si>
    <t>7315(20.9%)</t>
  </si>
  <si>
    <t>11769(33.6%)</t>
  </si>
  <si>
    <t>8130(23.2%)</t>
  </si>
  <si>
    <t>18732(53.5%)</t>
  </si>
  <si>
    <t>3333(9.5%)</t>
  </si>
  <si>
    <t>4789(13.7%)</t>
  </si>
  <si>
    <t>7991(22.8%)</t>
  </si>
  <si>
    <t>26993(77.2%)</t>
  </si>
  <si>
    <t>23152(66.2%)</t>
  </si>
  <si>
    <t>4000(11.4%)</t>
  </si>
  <si>
    <t>273(0.8%)</t>
  </si>
  <si>
    <t>153(0.4%)</t>
  </si>
  <si>
    <t>161(0.5%)</t>
  </si>
  <si>
    <t>5309(15.2%)</t>
  </si>
  <si>
    <t>1936(5.5%)</t>
  </si>
  <si>
    <t>11154(31.9%)</t>
  </si>
  <si>
    <t>9025(25.8%)</t>
  </si>
  <si>
    <t>12885(36.8%)</t>
  </si>
  <si>
    <t>1920(5.5%)</t>
  </si>
  <si>
    <t>16595(47.4%)</t>
    <phoneticPr fontId="1" type="noConversion"/>
  </si>
  <si>
    <t>5197(14.9%)</t>
    <phoneticPr fontId="1" type="noConversion"/>
  </si>
  <si>
    <t>13716(39.2%)</t>
    <phoneticPr fontId="1" type="noConversion"/>
  </si>
  <si>
    <t>45.5±2.8</t>
  </si>
  <si>
    <t>1969(100.0%)</t>
  </si>
  <si>
    <t>356(18.1%)</t>
  </si>
  <si>
    <t>1613(81.9%)</t>
  </si>
  <si>
    <t>0±0</t>
    <phoneticPr fontId="1" type="noConversion"/>
  </si>
  <si>
    <t>23.5±2.7</t>
    <phoneticPr fontId="1" type="noConversion"/>
  </si>
  <si>
    <t>22.8±2.8</t>
  </si>
  <si>
    <t>375(19.0%)</t>
  </si>
  <si>
    <t>294(14.9%)</t>
  </si>
  <si>
    <t>327(16.6%)</t>
  </si>
  <si>
    <t>363(18.4%)</t>
  </si>
  <si>
    <t>610(31.0%)</t>
  </si>
  <si>
    <t>736(37.4%)</t>
  </si>
  <si>
    <t>953(48.4%)</t>
  </si>
  <si>
    <t>39(2.0%)</t>
  </si>
  <si>
    <t>241(12.2%)</t>
  </si>
  <si>
    <t>463(23.5%)</t>
  </si>
  <si>
    <t>1506(76.5%)</t>
  </si>
  <si>
    <t>1559(79.2%)</t>
  </si>
  <si>
    <t>43(2.2%)</t>
  </si>
  <si>
    <t>10(0.5%)</t>
  </si>
  <si>
    <t>7(0.4%)</t>
  </si>
  <si>
    <t>5(0.3%)</t>
  </si>
  <si>
    <t>313(15.9%)</t>
  </si>
  <si>
    <t>32(1.6%)</t>
  </si>
  <si>
    <t>733(37.2%)</t>
  </si>
  <si>
    <t>457(23.2%)</t>
  </si>
  <si>
    <t>693(35.2%)</t>
  </si>
  <si>
    <t>86(4.4%)</t>
  </si>
  <si>
    <t>1162(59.0%)</t>
  </si>
  <si>
    <t>15433(46.7%)</t>
    <phoneticPr fontId="1" type="noConversion"/>
  </si>
  <si>
    <t>277(14.1%)</t>
  </si>
  <si>
    <t>849(43.1%)</t>
  </si>
  <si>
    <t>table8(data6)</t>
    <phoneticPr fontId="1" type="noConversion"/>
  </si>
  <si>
    <t>63308(43.0%)</t>
  </si>
  <si>
    <t>33647(22.8%)</t>
  </si>
  <si>
    <t>1072(0.7%)</t>
  </si>
  <si>
    <t>809(0.5%)</t>
  </si>
  <si>
    <t>1091(0.7%)</t>
  </si>
  <si>
    <t>16148(11.0%)</t>
  </si>
  <si>
    <t>20789(36.2%)</t>
  </si>
  <si>
    <t>13254(23.1%)</t>
  </si>
  <si>
    <t>351(0.6%)</t>
  </si>
  <si>
    <t>302(0.5%)</t>
  </si>
  <si>
    <t>382(0.7%)</t>
  </si>
  <si>
    <t>6507(11.3%)</t>
  </si>
  <si>
    <t>33703(22.9%)</t>
  </si>
  <si>
    <t>38097(25.9%)</t>
  </si>
  <si>
    <t>10784(18.8%)</t>
  </si>
  <si>
    <t>12919(22.5%)</t>
  </si>
  <si>
    <t>26684(46.5%)</t>
  </si>
  <si>
    <t>31224(21.2%)</t>
  </si>
  <si>
    <t>15854(27.6%)</t>
  </si>
  <si>
    <t>62361(42.3%)</t>
  </si>
  <si>
    <t>13138(8.9%)</t>
  </si>
  <si>
    <t>7052(12.3%)</t>
  </si>
  <si>
    <t>45124(30.6%)</t>
    <phoneticPr fontId="1" type="noConversion"/>
  </si>
  <si>
    <t>11733(20.4%)</t>
  </si>
  <si>
    <t>26154(17.8%)</t>
    <phoneticPr fontId="1" type="noConversion"/>
  </si>
  <si>
    <t>9548(16.6%)</t>
  </si>
  <si>
    <t>57274(38.9%)</t>
    <phoneticPr fontId="1" type="noConversion"/>
  </si>
  <si>
    <t>37907(42.2%)</t>
  </si>
  <si>
    <t>19367(33.7%)</t>
  </si>
  <si>
    <t>data1(all)</t>
    <phoneticPr fontId="1" type="noConversion"/>
  </si>
  <si>
    <t>data1(lung)</t>
    <phoneticPr fontId="1" type="noConversion"/>
  </si>
  <si>
    <t>data1(gray)</t>
    <phoneticPr fontId="1" type="noConversion"/>
  </si>
  <si>
    <t>data3&amp;4&amp;5(all)</t>
    <phoneticPr fontId="1" type="noConversion"/>
  </si>
  <si>
    <t>data3&amp;4&amp;5(lung)</t>
    <phoneticPr fontId="1" type="noConversion"/>
  </si>
  <si>
    <t>data3&amp;4&amp;5(gray)</t>
    <phoneticPr fontId="1" type="noConversion"/>
  </si>
  <si>
    <t>384(1.2%)</t>
    <phoneticPr fontId="1" type="noConversion"/>
  </si>
  <si>
    <t>13591(15.1%)</t>
    <phoneticPr fontId="1" type="noConversion"/>
  </si>
  <si>
    <t>11368(12.7%)</t>
    <phoneticPr fontId="1" type="noConversion"/>
  </si>
  <si>
    <t>35677(39.7%)</t>
    <phoneticPr fontId="1" type="noConversion"/>
  </si>
  <si>
    <t>24078(31.0%)</t>
    <phoneticPr fontId="1" type="noConversion"/>
  </si>
  <si>
    <t>11503(18.3%)</t>
  </si>
  <si>
    <t>9651(21.7%)</t>
    <phoneticPr fontId="1" type="noConversion"/>
  </si>
  <si>
    <t>6030(13.5%)</t>
    <phoneticPr fontId="1" type="noConversion"/>
  </si>
  <si>
    <t>4376(13.5%)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</si>
</sst>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0"/>
  <sheetViews>
    <sheetView topLeftCell="A115" workbookViewId="0">
      <selection activeCell="F122" sqref="F122"/>
    </sheetView>
  </sheetViews>
  <sheetFormatPr defaultRowHeight="16.5" x14ac:dyDescent="0.3"/>
  <cols>
    <col min="1" max="1" width="26.125" bestFit="1" customWidth="1"/>
    <col min="2" max="3" width="13" bestFit="1" customWidth="1"/>
    <col min="4" max="4" width="11.875" bestFit="1" customWidth="1"/>
    <col min="5" max="5" width="13" bestFit="1" customWidth="1"/>
    <col min="6" max="6" width="12.75" bestFit="1" customWidth="1"/>
    <col min="7" max="7" width="12.125" bestFit="1" customWidth="1"/>
    <col min="10" max="10" width="26.125" bestFit="1" customWidth="1"/>
    <col min="11" max="13" width="13" bestFit="1" customWidth="1"/>
    <col min="14" max="14" width="14.75" customWidth="1"/>
    <col min="15" max="15" width="12.75" bestFit="1" customWidth="1"/>
    <col min="16" max="16" width="12.125" bestFit="1" customWidth="1"/>
    <col min="19" max="19" width="26.125" bestFit="1" customWidth="1"/>
    <col min="20" max="21" width="13" bestFit="1" customWidth="1"/>
    <col min="22" max="22" width="14.125" bestFit="1" customWidth="1"/>
    <col min="23" max="23" width="12.75" bestFit="1" customWidth="1"/>
    <col min="24" max="24" width="12.125" bestFit="1" customWidth="1"/>
    <col min="27" max="27" width="26.125" bestFit="1" customWidth="1"/>
    <col min="28" max="28" width="13.75" bestFit="1" customWidth="1"/>
    <col min="29" max="30" width="14.125" bestFit="1" customWidth="1"/>
    <col min="31" max="31" width="12.75" bestFit="1" customWidth="1"/>
    <col min="32" max="32" width="12.125" bestFit="1" customWidth="1"/>
  </cols>
  <sheetData>
    <row r="1" spans="1:32" x14ac:dyDescent="0.3">
      <c r="A1" t="s">
        <v>276</v>
      </c>
      <c r="J1" t="s">
        <v>277</v>
      </c>
      <c r="S1" t="s">
        <v>394</v>
      </c>
      <c r="AA1" t="s">
        <v>395</v>
      </c>
    </row>
    <row r="2" spans="1:32" x14ac:dyDescent="0.3">
      <c r="B2" t="s">
        <v>102</v>
      </c>
      <c r="C2" t="s">
        <v>103</v>
      </c>
      <c r="D2" t="s">
        <v>104</v>
      </c>
      <c r="E2" t="s">
        <v>105</v>
      </c>
      <c r="F2" t="s">
        <v>8</v>
      </c>
      <c r="G2" t="s">
        <v>7</v>
      </c>
      <c r="K2" t="s">
        <v>102</v>
      </c>
      <c r="L2" t="s">
        <v>103</v>
      </c>
      <c r="M2" t="s">
        <v>104</v>
      </c>
      <c r="N2" t="s">
        <v>105</v>
      </c>
      <c r="O2" t="s">
        <v>8</v>
      </c>
      <c r="P2" t="s">
        <v>7</v>
      </c>
      <c r="T2" t="s">
        <v>102</v>
      </c>
      <c r="U2" t="s">
        <v>103</v>
      </c>
      <c r="V2" t="s">
        <v>104</v>
      </c>
      <c r="W2" t="s">
        <v>8</v>
      </c>
      <c r="X2" t="s">
        <v>7</v>
      </c>
      <c r="AB2" t="s">
        <v>102</v>
      </c>
      <c r="AC2" t="s">
        <v>103</v>
      </c>
      <c r="AD2" t="s">
        <v>104</v>
      </c>
      <c r="AE2" t="s">
        <v>8</v>
      </c>
      <c r="AF2" t="s">
        <v>7</v>
      </c>
    </row>
    <row r="3" spans="1:32" x14ac:dyDescent="0.3">
      <c r="A3" t="s">
        <v>101</v>
      </c>
      <c r="B3" t="s">
        <v>106</v>
      </c>
      <c r="C3" t="s">
        <v>107</v>
      </c>
      <c r="D3" t="s">
        <v>108</v>
      </c>
      <c r="E3" t="s">
        <v>109</v>
      </c>
      <c r="F3">
        <v>0</v>
      </c>
      <c r="G3" t="str">
        <f>IF(F3&lt;0.001,"&lt;0.001",ROUND(F3,3))</f>
        <v>&lt;0.001</v>
      </c>
      <c r="J3" t="s">
        <v>101</v>
      </c>
      <c r="K3" t="s">
        <v>278</v>
      </c>
      <c r="L3" t="s">
        <v>107</v>
      </c>
      <c r="M3" t="s">
        <v>108</v>
      </c>
      <c r="N3" t="s">
        <v>109</v>
      </c>
      <c r="O3">
        <v>0</v>
      </c>
      <c r="P3" t="str">
        <f>IF(O3&lt;0.001,"&lt;0.001",ROUND(O3,3))</f>
        <v>&lt;0.001</v>
      </c>
      <c r="S3" t="s">
        <v>101</v>
      </c>
      <c r="T3" t="s">
        <v>106</v>
      </c>
      <c r="U3" t="s">
        <v>324</v>
      </c>
      <c r="V3" t="s">
        <v>325</v>
      </c>
      <c r="W3">
        <v>0</v>
      </c>
      <c r="X3" t="str">
        <f>IF(W3&lt;0.001,"&lt;0.001",ROUND(W3,3))</f>
        <v>&lt;0.001</v>
      </c>
      <c r="AA3" t="s">
        <v>101</v>
      </c>
      <c r="AB3" t="s">
        <v>278</v>
      </c>
      <c r="AC3" t="s">
        <v>396</v>
      </c>
      <c r="AD3" t="s">
        <v>397</v>
      </c>
      <c r="AE3">
        <v>0</v>
      </c>
      <c r="AF3" t="str">
        <f>IF(AE3&lt;0.001,"&lt;0.001",ROUND(AE3,3))</f>
        <v>&lt;0.001</v>
      </c>
    </row>
    <row r="4" spans="1:32" x14ac:dyDescent="0.3">
      <c r="A4" t="s">
        <v>110</v>
      </c>
      <c r="F4">
        <v>0</v>
      </c>
      <c r="G4" t="str">
        <f>IF(F4&lt;0.001,"&lt;0.001",ROUND(F4,3))</f>
        <v>&lt;0.001</v>
      </c>
      <c r="J4" t="s">
        <v>110</v>
      </c>
      <c r="O4">
        <v>0</v>
      </c>
      <c r="P4" t="str">
        <f>IF(O4&lt;0.001,"&lt;0.001",ROUND(O4,3))</f>
        <v>&lt;0.001</v>
      </c>
      <c r="S4" t="s">
        <v>110</v>
      </c>
      <c r="W4">
        <v>0</v>
      </c>
      <c r="X4" t="str">
        <f>IF(W4&lt;0.001,"&lt;0.001",ROUND(W4,3))</f>
        <v>&lt;0.001</v>
      </c>
      <c r="AA4" t="s">
        <v>110</v>
      </c>
      <c r="AE4">
        <v>0</v>
      </c>
      <c r="AF4" t="str">
        <f>IF(AE4&lt;0.001,"&lt;0.001",ROUND(AE4,3))</f>
        <v>&lt;0.001</v>
      </c>
    </row>
    <row r="5" spans="1:32" x14ac:dyDescent="0.3">
      <c r="A5" t="s">
        <v>111</v>
      </c>
      <c r="B5" t="s">
        <v>112</v>
      </c>
      <c r="C5" t="s">
        <v>117</v>
      </c>
      <c r="D5" t="s">
        <v>118</v>
      </c>
      <c r="E5" t="s">
        <v>119</v>
      </c>
      <c r="J5" t="s">
        <v>280</v>
      </c>
      <c r="K5" t="s">
        <v>282</v>
      </c>
      <c r="L5" t="s">
        <v>323</v>
      </c>
      <c r="M5" t="s">
        <v>323</v>
      </c>
      <c r="N5" t="s">
        <v>323</v>
      </c>
      <c r="S5" t="s">
        <v>111</v>
      </c>
      <c r="T5" t="s">
        <v>112</v>
      </c>
      <c r="U5" t="s">
        <v>326</v>
      </c>
      <c r="V5" t="s">
        <v>327</v>
      </c>
      <c r="AA5" t="s">
        <v>280</v>
      </c>
      <c r="AB5" t="s">
        <v>282</v>
      </c>
      <c r="AC5" t="s">
        <v>398</v>
      </c>
      <c r="AD5" t="s">
        <v>399</v>
      </c>
    </row>
    <row r="6" spans="1:32" x14ac:dyDescent="0.3">
      <c r="A6" t="s">
        <v>113</v>
      </c>
      <c r="B6" t="s">
        <v>114</v>
      </c>
      <c r="C6" t="s">
        <v>120</v>
      </c>
      <c r="D6" t="s">
        <v>121</v>
      </c>
      <c r="E6" t="s">
        <v>122</v>
      </c>
      <c r="J6" t="s">
        <v>279</v>
      </c>
      <c r="K6" t="s">
        <v>284</v>
      </c>
      <c r="L6" t="s">
        <v>323</v>
      </c>
      <c r="M6" t="s">
        <v>323</v>
      </c>
      <c r="N6" t="s">
        <v>323</v>
      </c>
      <c r="S6" t="s">
        <v>113</v>
      </c>
      <c r="T6" t="s">
        <v>114</v>
      </c>
      <c r="U6" t="s">
        <v>328</v>
      </c>
      <c r="V6" t="s">
        <v>329</v>
      </c>
      <c r="AA6" t="s">
        <v>279</v>
      </c>
      <c r="AB6" t="s">
        <v>284</v>
      </c>
      <c r="AC6" t="s">
        <v>400</v>
      </c>
      <c r="AD6" t="s">
        <v>401</v>
      </c>
    </row>
    <row r="7" spans="1:32" x14ac:dyDescent="0.3">
      <c r="A7" t="s">
        <v>115</v>
      </c>
      <c r="B7" t="s">
        <v>116</v>
      </c>
      <c r="C7" t="s">
        <v>123</v>
      </c>
      <c r="D7" t="s">
        <v>124</v>
      </c>
      <c r="E7" t="s">
        <v>125</v>
      </c>
      <c r="J7" t="s">
        <v>111</v>
      </c>
      <c r="K7" t="s">
        <v>285</v>
      </c>
      <c r="L7" t="s">
        <v>117</v>
      </c>
      <c r="M7" t="s">
        <v>118</v>
      </c>
      <c r="N7" t="s">
        <v>119</v>
      </c>
      <c r="S7" t="s">
        <v>115</v>
      </c>
      <c r="T7" t="s">
        <v>116</v>
      </c>
      <c r="U7" t="s">
        <v>330</v>
      </c>
      <c r="V7" t="s">
        <v>331</v>
      </c>
      <c r="AA7" t="s">
        <v>111</v>
      </c>
      <c r="AB7" t="s">
        <v>285</v>
      </c>
      <c r="AC7" t="s">
        <v>402</v>
      </c>
      <c r="AD7" t="s">
        <v>403</v>
      </c>
    </row>
    <row r="8" spans="1:32" x14ac:dyDescent="0.3">
      <c r="A8" t="s">
        <v>126</v>
      </c>
      <c r="F8">
        <v>0</v>
      </c>
      <c r="G8" t="str">
        <f>IF(F8&lt;0.001,"&lt;0.001",ROUND(F8,3))</f>
        <v>&lt;0.001</v>
      </c>
      <c r="J8" t="s">
        <v>113</v>
      </c>
      <c r="K8" t="s">
        <v>286</v>
      </c>
      <c r="L8" t="s">
        <v>120</v>
      </c>
      <c r="M8" t="s">
        <v>121</v>
      </c>
      <c r="N8" t="s">
        <v>122</v>
      </c>
      <c r="S8" t="s">
        <v>126</v>
      </c>
      <c r="AA8" t="s">
        <v>113</v>
      </c>
      <c r="AB8" t="s">
        <v>286</v>
      </c>
      <c r="AC8" t="s">
        <v>404</v>
      </c>
      <c r="AD8" t="s">
        <v>405</v>
      </c>
    </row>
    <row r="9" spans="1:32" x14ac:dyDescent="0.3">
      <c r="A9">
        <v>1</v>
      </c>
      <c r="B9" t="s">
        <v>127</v>
      </c>
      <c r="C9" t="s">
        <v>129</v>
      </c>
      <c r="D9" t="s">
        <v>130</v>
      </c>
      <c r="E9" t="s">
        <v>131</v>
      </c>
      <c r="J9" t="s">
        <v>115</v>
      </c>
      <c r="K9" t="s">
        <v>287</v>
      </c>
      <c r="L9" t="s">
        <v>123</v>
      </c>
      <c r="M9" t="s">
        <v>124</v>
      </c>
      <c r="N9" t="s">
        <v>125</v>
      </c>
      <c r="S9">
        <v>1</v>
      </c>
      <c r="T9" t="s">
        <v>127</v>
      </c>
      <c r="U9" t="s">
        <v>332</v>
      </c>
      <c r="V9" t="s">
        <v>333</v>
      </c>
      <c r="AA9" t="s">
        <v>115</v>
      </c>
      <c r="AB9" t="s">
        <v>287</v>
      </c>
      <c r="AC9" t="s">
        <v>406</v>
      </c>
      <c r="AD9" t="s">
        <v>407</v>
      </c>
    </row>
    <row r="10" spans="1:32" x14ac:dyDescent="0.3">
      <c r="A10">
        <v>2</v>
      </c>
      <c r="B10" t="s">
        <v>128</v>
      </c>
      <c r="C10" t="s">
        <v>132</v>
      </c>
      <c r="D10" t="s">
        <v>133</v>
      </c>
      <c r="E10" t="s">
        <v>134</v>
      </c>
      <c r="J10" t="s">
        <v>281</v>
      </c>
      <c r="K10" t="s">
        <v>283</v>
      </c>
      <c r="L10" t="s">
        <v>323</v>
      </c>
      <c r="M10" t="s">
        <v>323</v>
      </c>
      <c r="N10" t="s">
        <v>323</v>
      </c>
      <c r="S10">
        <v>2</v>
      </c>
      <c r="T10" t="s">
        <v>128</v>
      </c>
      <c r="U10" t="s">
        <v>323</v>
      </c>
      <c r="V10" t="s">
        <v>334</v>
      </c>
      <c r="AA10" t="s">
        <v>281</v>
      </c>
      <c r="AB10" t="s">
        <v>283</v>
      </c>
      <c r="AC10" t="s">
        <v>408</v>
      </c>
      <c r="AD10" t="s">
        <v>409</v>
      </c>
    </row>
    <row r="11" spans="1:32" x14ac:dyDescent="0.3">
      <c r="A11" t="s">
        <v>137</v>
      </c>
      <c r="F11">
        <v>0</v>
      </c>
      <c r="G11" t="str">
        <f>IF(F11&lt;0.001,"&lt;0.001",ROUND(F11,3))</f>
        <v>&lt;0.001</v>
      </c>
      <c r="J11" t="s">
        <v>126</v>
      </c>
      <c r="O11">
        <v>0</v>
      </c>
      <c r="P11" t="str">
        <f>IF(O11&lt;0.001,"&lt;0.001",ROUND(O11,3))</f>
        <v>&lt;0.001</v>
      </c>
      <c r="S11" t="s">
        <v>137</v>
      </c>
      <c r="W11">
        <v>0</v>
      </c>
      <c r="X11" t="str">
        <f>IF(W11&lt;0.001,"&lt;0.001",ROUND(W11,3))</f>
        <v>&lt;0.001</v>
      </c>
      <c r="AA11" t="s">
        <v>126</v>
      </c>
    </row>
    <row r="12" spans="1:32" x14ac:dyDescent="0.3">
      <c r="A12" t="s">
        <v>136</v>
      </c>
      <c r="B12" t="s">
        <v>138</v>
      </c>
      <c r="C12" t="s">
        <v>142</v>
      </c>
      <c r="D12" t="s">
        <v>142</v>
      </c>
      <c r="E12" s="2" t="s">
        <v>143</v>
      </c>
      <c r="J12">
        <v>1</v>
      </c>
      <c r="K12" t="s">
        <v>289</v>
      </c>
      <c r="L12" t="s">
        <v>129</v>
      </c>
      <c r="M12" t="s">
        <v>130</v>
      </c>
      <c r="N12" t="s">
        <v>131</v>
      </c>
      <c r="S12" t="s">
        <v>136</v>
      </c>
      <c r="T12" t="s">
        <v>138</v>
      </c>
      <c r="U12" t="s">
        <v>335</v>
      </c>
      <c r="V12" t="s">
        <v>336</v>
      </c>
      <c r="AA12">
        <v>1</v>
      </c>
      <c r="AB12" t="s">
        <v>289</v>
      </c>
      <c r="AC12" t="s">
        <v>410</v>
      </c>
      <c r="AD12" t="s">
        <v>411</v>
      </c>
    </row>
    <row r="13" spans="1:32" x14ac:dyDescent="0.3">
      <c r="A13" t="s">
        <v>135</v>
      </c>
      <c r="B13" t="s">
        <v>139</v>
      </c>
      <c r="C13" t="s">
        <v>144</v>
      </c>
      <c r="D13" t="s">
        <v>145</v>
      </c>
      <c r="E13" s="2" t="s">
        <v>142</v>
      </c>
      <c r="J13">
        <v>2</v>
      </c>
      <c r="K13" t="s">
        <v>290</v>
      </c>
      <c r="L13" t="s">
        <v>132</v>
      </c>
      <c r="M13" t="s">
        <v>133</v>
      </c>
      <c r="N13" t="s">
        <v>134</v>
      </c>
      <c r="S13" t="s">
        <v>135</v>
      </c>
      <c r="T13" t="s">
        <v>139</v>
      </c>
      <c r="U13" t="s">
        <v>337</v>
      </c>
      <c r="V13" t="s">
        <v>339</v>
      </c>
      <c r="AA13">
        <v>2</v>
      </c>
      <c r="AB13" t="s">
        <v>290</v>
      </c>
      <c r="AC13" t="s">
        <v>288</v>
      </c>
      <c r="AD13" t="s">
        <v>412</v>
      </c>
    </row>
    <row r="14" spans="1:32" x14ac:dyDescent="0.3">
      <c r="A14" t="s">
        <v>140</v>
      </c>
      <c r="B14" t="s">
        <v>141</v>
      </c>
      <c r="C14" t="s">
        <v>146</v>
      </c>
      <c r="D14" t="s">
        <v>147</v>
      </c>
      <c r="E14" t="s">
        <v>142</v>
      </c>
      <c r="J14" t="s">
        <v>137</v>
      </c>
      <c r="O14">
        <v>0</v>
      </c>
      <c r="P14" t="str">
        <f>IF(O14&lt;0.001,"&lt;0.001",ROUND(O14,3))</f>
        <v>&lt;0.001</v>
      </c>
      <c r="S14" t="s">
        <v>140</v>
      </c>
      <c r="T14" t="s">
        <v>141</v>
      </c>
      <c r="U14" t="s">
        <v>338</v>
      </c>
      <c r="V14" t="s">
        <v>340</v>
      </c>
      <c r="AA14" t="s">
        <v>137</v>
      </c>
      <c r="AE14">
        <v>0</v>
      </c>
      <c r="AF14" t="str">
        <f>IF(AE14&lt;0.001,"&lt;0.001",ROUND(AE14,3))</f>
        <v>&lt;0.001</v>
      </c>
    </row>
    <row r="15" spans="1:32" x14ac:dyDescent="0.3">
      <c r="A15" t="s">
        <v>13</v>
      </c>
      <c r="B15" t="s">
        <v>148</v>
      </c>
      <c r="C15" t="s">
        <v>149</v>
      </c>
      <c r="D15" t="s">
        <v>150</v>
      </c>
      <c r="E15" t="s">
        <v>151</v>
      </c>
      <c r="F15">
        <v>0</v>
      </c>
      <c r="G15" t="str">
        <f>IF(F15&lt;0.001,"&lt;0.001",ROUND(F15,3))</f>
        <v>&lt;0.001</v>
      </c>
      <c r="J15" t="s">
        <v>136</v>
      </c>
      <c r="K15" t="s">
        <v>291</v>
      </c>
      <c r="L15" t="s">
        <v>142</v>
      </c>
      <c r="M15" t="s">
        <v>142</v>
      </c>
      <c r="N15" s="2" t="s">
        <v>143</v>
      </c>
      <c r="S15" t="s">
        <v>13</v>
      </c>
      <c r="T15" t="s">
        <v>148</v>
      </c>
      <c r="U15" t="s">
        <v>341</v>
      </c>
      <c r="V15" t="s">
        <v>342</v>
      </c>
      <c r="W15">
        <v>0</v>
      </c>
      <c r="X15" t="str">
        <f>IF(W15&lt;0.001,"&lt;0.001",ROUND(W15,3))</f>
        <v>&lt;0.001</v>
      </c>
      <c r="AA15" t="s">
        <v>136</v>
      </c>
      <c r="AB15" t="s">
        <v>291</v>
      </c>
      <c r="AC15" t="s">
        <v>413</v>
      </c>
      <c r="AD15" t="s">
        <v>414</v>
      </c>
    </row>
    <row r="16" spans="1:32" x14ac:dyDescent="0.3">
      <c r="A16" t="s">
        <v>14</v>
      </c>
      <c r="B16" t="s">
        <v>152</v>
      </c>
      <c r="C16" t="s">
        <v>153</v>
      </c>
      <c r="D16" t="s">
        <v>153</v>
      </c>
      <c r="E16" t="s">
        <v>154</v>
      </c>
      <c r="J16" t="s">
        <v>135</v>
      </c>
      <c r="K16" t="s">
        <v>292</v>
      </c>
      <c r="L16" t="s">
        <v>144</v>
      </c>
      <c r="M16" t="s">
        <v>145</v>
      </c>
      <c r="N16" s="2" t="s">
        <v>142</v>
      </c>
      <c r="S16" t="s">
        <v>14</v>
      </c>
      <c r="T16" t="s">
        <v>152</v>
      </c>
      <c r="U16" t="s">
        <v>153</v>
      </c>
      <c r="V16" t="s">
        <v>343</v>
      </c>
      <c r="W16">
        <v>0</v>
      </c>
      <c r="X16" t="str">
        <f t="shared" ref="X16:X17" si="0">IF(W16&lt;0.001,"&lt;0.001",ROUND(W16,3))</f>
        <v>&lt;0.001</v>
      </c>
      <c r="AA16" t="s">
        <v>135</v>
      </c>
      <c r="AB16" t="s">
        <v>292</v>
      </c>
      <c r="AC16" t="s">
        <v>415</v>
      </c>
      <c r="AD16" t="s">
        <v>416</v>
      </c>
    </row>
    <row r="17" spans="1:32" x14ac:dyDescent="0.3">
      <c r="A17" t="s">
        <v>155</v>
      </c>
      <c r="F17">
        <v>0</v>
      </c>
      <c r="G17" t="str">
        <f>IF(F17&lt;0.001,"&lt;0.001",ROUND(F17,3))</f>
        <v>&lt;0.001</v>
      </c>
      <c r="J17" t="s">
        <v>140</v>
      </c>
      <c r="K17" t="s">
        <v>293</v>
      </c>
      <c r="L17" t="s">
        <v>146</v>
      </c>
      <c r="M17" t="s">
        <v>147</v>
      </c>
      <c r="N17" t="s">
        <v>142</v>
      </c>
      <c r="S17" t="s">
        <v>155</v>
      </c>
      <c r="W17">
        <v>0</v>
      </c>
      <c r="X17" t="str">
        <f t="shared" si="0"/>
        <v>&lt;0.001</v>
      </c>
      <c r="AA17" t="s">
        <v>140</v>
      </c>
      <c r="AB17" t="s">
        <v>293</v>
      </c>
      <c r="AC17" t="s">
        <v>417</v>
      </c>
      <c r="AD17" t="s">
        <v>418</v>
      </c>
    </row>
    <row r="18" spans="1:32" x14ac:dyDescent="0.3">
      <c r="A18">
        <v>1</v>
      </c>
      <c r="B18" t="s">
        <v>160</v>
      </c>
      <c r="C18" t="s">
        <v>173</v>
      </c>
      <c r="D18" t="s">
        <v>174</v>
      </c>
      <c r="E18" t="s">
        <v>175</v>
      </c>
      <c r="J18" t="s">
        <v>13</v>
      </c>
      <c r="K18" t="s">
        <v>294</v>
      </c>
      <c r="L18" t="s">
        <v>149</v>
      </c>
      <c r="M18" t="s">
        <v>150</v>
      </c>
      <c r="N18" t="s">
        <v>151</v>
      </c>
      <c r="O18">
        <v>0</v>
      </c>
      <c r="P18" t="str">
        <f>IF(O18&lt;0.001,"&lt;0.001",ROUND(O18,3))</f>
        <v>&lt;0.001</v>
      </c>
      <c r="S18">
        <v>1</v>
      </c>
      <c r="T18" t="s">
        <v>820</v>
      </c>
      <c r="U18" t="s">
        <v>352</v>
      </c>
      <c r="V18" t="s">
        <v>353</v>
      </c>
      <c r="AA18" t="s">
        <v>13</v>
      </c>
      <c r="AB18" t="s">
        <v>294</v>
      </c>
      <c r="AC18" t="s">
        <v>419</v>
      </c>
      <c r="AD18" t="s">
        <v>342</v>
      </c>
      <c r="AE18">
        <v>0</v>
      </c>
      <c r="AF18" t="str">
        <f>IF(AE18&lt;0.001,"&lt;0.001",ROUND(AE18,3))</f>
        <v>&lt;0.001</v>
      </c>
    </row>
    <row r="19" spans="1:32" x14ac:dyDescent="0.3">
      <c r="A19">
        <v>2</v>
      </c>
      <c r="B19" t="s">
        <v>159</v>
      </c>
      <c r="C19" t="s">
        <v>170</v>
      </c>
      <c r="D19" t="s">
        <v>171</v>
      </c>
      <c r="E19" t="s">
        <v>172</v>
      </c>
      <c r="J19" t="s">
        <v>14</v>
      </c>
      <c r="K19" t="s">
        <v>295</v>
      </c>
      <c r="L19" t="s">
        <v>153</v>
      </c>
      <c r="M19" t="s">
        <v>153</v>
      </c>
      <c r="N19" t="s">
        <v>154</v>
      </c>
      <c r="S19">
        <v>2</v>
      </c>
      <c r="T19" t="s">
        <v>159</v>
      </c>
      <c r="U19" t="s">
        <v>350</v>
      </c>
      <c r="V19" t="s">
        <v>351</v>
      </c>
      <c r="AA19" t="s">
        <v>14</v>
      </c>
      <c r="AB19" t="s">
        <v>295</v>
      </c>
      <c r="AC19" t="s">
        <v>153</v>
      </c>
      <c r="AD19" t="s">
        <v>420</v>
      </c>
      <c r="AE19">
        <v>0</v>
      </c>
      <c r="AF19" t="str">
        <f t="shared" ref="AF19:AF20" si="1">IF(AE19&lt;0.001,"&lt;0.001",ROUND(AE19,3))</f>
        <v>&lt;0.001</v>
      </c>
    </row>
    <row r="20" spans="1:32" x14ac:dyDescent="0.3">
      <c r="A20">
        <v>3</v>
      </c>
      <c r="B20" t="s">
        <v>158</v>
      </c>
      <c r="C20" t="s">
        <v>167</v>
      </c>
      <c r="D20" t="s">
        <v>168</v>
      </c>
      <c r="E20" t="s">
        <v>169</v>
      </c>
      <c r="J20" t="s">
        <v>155</v>
      </c>
      <c r="O20">
        <v>0</v>
      </c>
      <c r="P20" t="str">
        <f>IF(O20&lt;0.001,"&lt;0.001",ROUND(O20,3))</f>
        <v>&lt;0.001</v>
      </c>
      <c r="S20">
        <v>3</v>
      </c>
      <c r="T20" t="s">
        <v>158</v>
      </c>
      <c r="U20" t="s">
        <v>348</v>
      </c>
      <c r="V20" t="s">
        <v>349</v>
      </c>
      <c r="AA20" t="s">
        <v>155</v>
      </c>
      <c r="AE20">
        <v>0</v>
      </c>
      <c r="AF20" t="str">
        <f t="shared" si="1"/>
        <v>&lt;0.001</v>
      </c>
    </row>
    <row r="21" spans="1:32" x14ac:dyDescent="0.3">
      <c r="A21">
        <v>4</v>
      </c>
      <c r="B21" t="s">
        <v>157</v>
      </c>
      <c r="C21" t="s">
        <v>164</v>
      </c>
      <c r="D21" t="s">
        <v>165</v>
      </c>
      <c r="E21" t="s">
        <v>166</v>
      </c>
      <c r="J21">
        <v>1</v>
      </c>
      <c r="K21" t="s">
        <v>300</v>
      </c>
      <c r="L21" t="s">
        <v>173</v>
      </c>
      <c r="M21" t="s">
        <v>174</v>
      </c>
      <c r="N21" t="s">
        <v>175</v>
      </c>
      <c r="S21">
        <v>4</v>
      </c>
      <c r="T21" t="s">
        <v>157</v>
      </c>
      <c r="U21" t="s">
        <v>346</v>
      </c>
      <c r="V21" t="s">
        <v>347</v>
      </c>
      <c r="AA21">
        <v>1</v>
      </c>
      <c r="AB21" t="s">
        <v>300</v>
      </c>
      <c r="AC21" t="s">
        <v>428</v>
      </c>
      <c r="AD21" t="s">
        <v>429</v>
      </c>
    </row>
    <row r="22" spans="1:32" x14ac:dyDescent="0.3">
      <c r="A22">
        <v>5</v>
      </c>
      <c r="B22" t="s">
        <v>156</v>
      </c>
      <c r="C22" t="s">
        <v>161</v>
      </c>
      <c r="D22" t="s">
        <v>162</v>
      </c>
      <c r="E22" t="s">
        <v>163</v>
      </c>
      <c r="J22">
        <v>2</v>
      </c>
      <c r="K22" t="s">
        <v>299</v>
      </c>
      <c r="L22" t="s">
        <v>170</v>
      </c>
      <c r="M22" t="s">
        <v>171</v>
      </c>
      <c r="N22" t="s">
        <v>172</v>
      </c>
      <c r="S22">
        <v>5</v>
      </c>
      <c r="T22" t="s">
        <v>156</v>
      </c>
      <c r="U22" t="s">
        <v>344</v>
      </c>
      <c r="V22" t="s">
        <v>345</v>
      </c>
      <c r="AA22">
        <v>2</v>
      </c>
      <c r="AB22" t="s">
        <v>299</v>
      </c>
      <c r="AC22" t="s">
        <v>426</v>
      </c>
      <c r="AD22" t="s">
        <v>427</v>
      </c>
    </row>
    <row r="23" spans="1:32" x14ac:dyDescent="0.3">
      <c r="A23" t="s">
        <v>176</v>
      </c>
      <c r="F23">
        <v>0</v>
      </c>
      <c r="G23" t="str">
        <f>IF(F23&lt;0.001,"&lt;0.001",ROUND(F23,3))</f>
        <v>&lt;0.001</v>
      </c>
      <c r="J23">
        <v>3</v>
      </c>
      <c r="K23" t="s">
        <v>817</v>
      </c>
      <c r="L23" t="s">
        <v>167</v>
      </c>
      <c r="M23" t="s">
        <v>168</v>
      </c>
      <c r="N23" t="s">
        <v>169</v>
      </c>
      <c r="S23" t="s">
        <v>176</v>
      </c>
      <c r="W23">
        <v>0</v>
      </c>
      <c r="X23" t="str">
        <f t="shared" ref="X23" si="2">IF(W23&lt;0.001,"&lt;0.001",ROUND(W23,3))</f>
        <v>&lt;0.001</v>
      </c>
      <c r="AA23">
        <v>3</v>
      </c>
      <c r="AB23" t="s">
        <v>298</v>
      </c>
      <c r="AC23" t="s">
        <v>424</v>
      </c>
      <c r="AD23" t="s">
        <v>425</v>
      </c>
    </row>
    <row r="24" spans="1:32" x14ac:dyDescent="0.3">
      <c r="A24" s="3" t="s">
        <v>182</v>
      </c>
      <c r="B24" t="s">
        <v>179</v>
      </c>
      <c r="C24" t="s">
        <v>188</v>
      </c>
      <c r="D24" t="s">
        <v>189</v>
      </c>
      <c r="E24" t="s">
        <v>190</v>
      </c>
      <c r="J24">
        <v>4</v>
      </c>
      <c r="K24" t="s">
        <v>818</v>
      </c>
      <c r="L24" t="s">
        <v>164</v>
      </c>
      <c r="M24" t="s">
        <v>165</v>
      </c>
      <c r="N24" t="s">
        <v>166</v>
      </c>
      <c r="S24" s="3" t="s">
        <v>182</v>
      </c>
      <c r="T24" t="s">
        <v>179</v>
      </c>
      <c r="U24" t="s">
        <v>354</v>
      </c>
      <c r="V24" t="s">
        <v>355</v>
      </c>
      <c r="AA24">
        <v>4</v>
      </c>
      <c r="AB24" t="s">
        <v>297</v>
      </c>
      <c r="AC24" t="s">
        <v>422</v>
      </c>
      <c r="AD24" t="s">
        <v>423</v>
      </c>
    </row>
    <row r="25" spans="1:32" x14ac:dyDescent="0.3">
      <c r="A25" s="3" t="s">
        <v>183</v>
      </c>
      <c r="B25" t="s">
        <v>180</v>
      </c>
      <c r="C25" t="s">
        <v>191</v>
      </c>
      <c r="D25" t="s">
        <v>192</v>
      </c>
      <c r="E25" t="s">
        <v>193</v>
      </c>
      <c r="J25">
        <v>5</v>
      </c>
      <c r="K25" t="s">
        <v>296</v>
      </c>
      <c r="L25" t="s">
        <v>161</v>
      </c>
      <c r="M25" t="s">
        <v>162</v>
      </c>
      <c r="N25" t="s">
        <v>163</v>
      </c>
      <c r="S25" s="3" t="s">
        <v>183</v>
      </c>
      <c r="T25" t="s">
        <v>180</v>
      </c>
      <c r="U25" t="s">
        <v>356</v>
      </c>
      <c r="V25" t="s">
        <v>357</v>
      </c>
      <c r="AA25">
        <v>5</v>
      </c>
      <c r="AB25" t="s">
        <v>296</v>
      </c>
      <c r="AC25" t="s">
        <v>821</v>
      </c>
      <c r="AD25" t="s">
        <v>421</v>
      </c>
    </row>
    <row r="26" spans="1:32" x14ac:dyDescent="0.3">
      <c r="A26" s="3" t="s">
        <v>184</v>
      </c>
      <c r="B26" t="s">
        <v>181</v>
      </c>
      <c r="C26" t="s">
        <v>194</v>
      </c>
      <c r="D26" t="s">
        <v>195</v>
      </c>
      <c r="E26" t="s">
        <v>196</v>
      </c>
      <c r="J26" t="s">
        <v>176</v>
      </c>
      <c r="O26">
        <v>0</v>
      </c>
      <c r="P26" t="str">
        <f>IF(O26&lt;0.001,"&lt;0.001",ROUND(O26,3))</f>
        <v>&lt;0.001</v>
      </c>
      <c r="S26" s="3" t="s">
        <v>184</v>
      </c>
      <c r="T26" t="s">
        <v>181</v>
      </c>
      <c r="U26" t="s">
        <v>358</v>
      </c>
      <c r="V26" t="s">
        <v>359</v>
      </c>
      <c r="AA26" t="s">
        <v>176</v>
      </c>
      <c r="AE26">
        <v>0</v>
      </c>
      <c r="AF26" t="str">
        <f t="shared" ref="AF26" si="3">IF(AE26&lt;0.001,"&lt;0.001",ROUND(AE26,3))</f>
        <v>&lt;0.001</v>
      </c>
    </row>
    <row r="27" spans="1:32" x14ac:dyDescent="0.3">
      <c r="A27" t="s">
        <v>177</v>
      </c>
      <c r="B27" t="s">
        <v>178</v>
      </c>
      <c r="C27" t="s">
        <v>185</v>
      </c>
      <c r="D27" t="s">
        <v>186</v>
      </c>
      <c r="E27" t="s">
        <v>187</v>
      </c>
      <c r="J27" s="3" t="s">
        <v>182</v>
      </c>
      <c r="K27" t="s">
        <v>301</v>
      </c>
      <c r="L27" t="s">
        <v>188</v>
      </c>
      <c r="M27" t="s">
        <v>189</v>
      </c>
      <c r="N27" t="s">
        <v>190</v>
      </c>
      <c r="S27" t="s">
        <v>177</v>
      </c>
      <c r="T27" t="s">
        <v>178</v>
      </c>
      <c r="U27" t="s">
        <v>360</v>
      </c>
      <c r="V27" t="s">
        <v>361</v>
      </c>
      <c r="AA27" s="3" t="s">
        <v>182</v>
      </c>
      <c r="AB27" t="s">
        <v>301</v>
      </c>
      <c r="AC27" t="s">
        <v>430</v>
      </c>
      <c r="AD27" t="s">
        <v>431</v>
      </c>
    </row>
    <row r="28" spans="1:32" x14ac:dyDescent="0.3">
      <c r="A28" t="s">
        <v>197</v>
      </c>
      <c r="F28">
        <v>0</v>
      </c>
      <c r="G28" t="str">
        <f>IF(F28&lt;0.001,"&lt;0.001",ROUND(F28,3))</f>
        <v>&lt;0.001</v>
      </c>
      <c r="J28" s="3" t="s">
        <v>183</v>
      </c>
      <c r="K28" t="s">
        <v>303</v>
      </c>
      <c r="L28" t="s">
        <v>191</v>
      </c>
      <c r="M28" t="s">
        <v>192</v>
      </c>
      <c r="N28" t="s">
        <v>193</v>
      </c>
      <c r="S28" t="s">
        <v>197</v>
      </c>
      <c r="W28">
        <v>0</v>
      </c>
      <c r="X28" t="str">
        <f t="shared" ref="X28" si="4">IF(W28&lt;0.001,"&lt;0.001",ROUND(W28,3))</f>
        <v>&lt;0.001</v>
      </c>
      <c r="AA28" s="3" t="s">
        <v>183</v>
      </c>
      <c r="AB28" t="s">
        <v>303</v>
      </c>
      <c r="AC28" t="s">
        <v>432</v>
      </c>
      <c r="AD28" t="s">
        <v>433</v>
      </c>
    </row>
    <row r="29" spans="1:32" x14ac:dyDescent="0.3">
      <c r="A29" t="s">
        <v>198</v>
      </c>
      <c r="B29" t="s">
        <v>199</v>
      </c>
      <c r="C29" t="s">
        <v>202</v>
      </c>
      <c r="D29" t="s">
        <v>203</v>
      </c>
      <c r="E29" t="s">
        <v>204</v>
      </c>
      <c r="J29" s="3" t="s">
        <v>184</v>
      </c>
      <c r="K29" t="s">
        <v>304</v>
      </c>
      <c r="L29" t="s">
        <v>194</v>
      </c>
      <c r="M29" t="s">
        <v>195</v>
      </c>
      <c r="N29" t="s">
        <v>196</v>
      </c>
      <c r="S29" t="s">
        <v>198</v>
      </c>
      <c r="T29" t="s">
        <v>199</v>
      </c>
      <c r="U29" t="s">
        <v>362</v>
      </c>
      <c r="V29" t="s">
        <v>363</v>
      </c>
      <c r="AA29" s="3" t="s">
        <v>184</v>
      </c>
      <c r="AB29" t="s">
        <v>304</v>
      </c>
      <c r="AC29" t="s">
        <v>434</v>
      </c>
      <c r="AD29" t="s">
        <v>435</v>
      </c>
    </row>
    <row r="30" spans="1:32" x14ac:dyDescent="0.3">
      <c r="A30" t="s">
        <v>200</v>
      </c>
      <c r="B30" t="s">
        <v>201</v>
      </c>
      <c r="C30" t="s">
        <v>205</v>
      </c>
      <c r="D30" t="s">
        <v>206</v>
      </c>
      <c r="E30" t="s">
        <v>207</v>
      </c>
      <c r="J30" t="s">
        <v>177</v>
      </c>
      <c r="K30" t="s">
        <v>302</v>
      </c>
      <c r="L30" t="s">
        <v>185</v>
      </c>
      <c r="M30" t="s">
        <v>186</v>
      </c>
      <c r="N30" t="s">
        <v>187</v>
      </c>
      <c r="S30" t="s">
        <v>200</v>
      </c>
      <c r="T30" t="s">
        <v>201</v>
      </c>
      <c r="U30" t="s">
        <v>364</v>
      </c>
      <c r="V30" t="s">
        <v>365</v>
      </c>
      <c r="AA30" t="s">
        <v>177</v>
      </c>
      <c r="AB30" t="s">
        <v>302</v>
      </c>
      <c r="AC30" t="s">
        <v>436</v>
      </c>
      <c r="AD30" t="s">
        <v>437</v>
      </c>
    </row>
    <row r="31" spans="1:32" x14ac:dyDescent="0.3">
      <c r="A31" t="s">
        <v>208</v>
      </c>
      <c r="J31" t="s">
        <v>197</v>
      </c>
      <c r="O31">
        <v>0</v>
      </c>
      <c r="P31" t="str">
        <f>IF(O31&lt;0.001,"&lt;0.001",ROUND(O31,3))</f>
        <v>&lt;0.001</v>
      </c>
      <c r="S31" t="s">
        <v>208</v>
      </c>
      <c r="AA31" t="s">
        <v>197</v>
      </c>
      <c r="AE31">
        <v>0</v>
      </c>
      <c r="AF31" t="str">
        <f t="shared" ref="AF31" si="5">IF(AE31&lt;0.001,"&lt;0.001",ROUND(AE31,3))</f>
        <v>&lt;0.001</v>
      </c>
    </row>
    <row r="32" spans="1:32" x14ac:dyDescent="0.3">
      <c r="A32" t="s">
        <v>209</v>
      </c>
      <c r="B32" t="s">
        <v>210</v>
      </c>
      <c r="C32" t="s">
        <v>223</v>
      </c>
      <c r="D32" t="s">
        <v>224</v>
      </c>
      <c r="E32" t="s">
        <v>225</v>
      </c>
      <c r="F32">
        <v>0</v>
      </c>
      <c r="G32" t="str">
        <f t="shared" ref="G32:G38" si="6">IF(F32&lt;0.001,"&lt;0.001",ROUND(F32,3))</f>
        <v>&lt;0.001</v>
      </c>
      <c r="J32" t="s">
        <v>198</v>
      </c>
      <c r="K32" t="s">
        <v>305</v>
      </c>
      <c r="L32" t="s">
        <v>202</v>
      </c>
      <c r="M32" t="s">
        <v>203</v>
      </c>
      <c r="N32" t="s">
        <v>204</v>
      </c>
      <c r="S32" t="s">
        <v>209</v>
      </c>
      <c r="T32" t="s">
        <v>210</v>
      </c>
      <c r="U32" t="s">
        <v>366</v>
      </c>
      <c r="V32" t="s">
        <v>367</v>
      </c>
      <c r="W32">
        <v>0</v>
      </c>
      <c r="X32" t="str">
        <f t="shared" ref="X32:X38" si="7">IF(W32&lt;0.001,"&lt;0.001",ROUND(W32,3))</f>
        <v>&lt;0.001</v>
      </c>
      <c r="AA32" t="s">
        <v>198</v>
      </c>
      <c r="AB32" t="s">
        <v>305</v>
      </c>
      <c r="AC32" t="s">
        <v>438</v>
      </c>
      <c r="AD32" t="s">
        <v>439</v>
      </c>
    </row>
    <row r="33" spans="1:32" x14ac:dyDescent="0.3">
      <c r="A33" t="s">
        <v>217</v>
      </c>
      <c r="B33" t="s">
        <v>211</v>
      </c>
      <c r="C33" t="s">
        <v>241</v>
      </c>
      <c r="D33" t="s">
        <v>242</v>
      </c>
      <c r="E33" t="s">
        <v>243</v>
      </c>
      <c r="F33">
        <v>0</v>
      </c>
      <c r="G33" t="str">
        <f t="shared" si="6"/>
        <v>&lt;0.001</v>
      </c>
      <c r="J33" t="s">
        <v>200</v>
      </c>
      <c r="K33" t="s">
        <v>306</v>
      </c>
      <c r="L33" t="s">
        <v>205</v>
      </c>
      <c r="M33" t="s">
        <v>206</v>
      </c>
      <c r="N33" t="s">
        <v>207</v>
      </c>
      <c r="S33" t="s">
        <v>217</v>
      </c>
      <c r="T33" t="s">
        <v>211</v>
      </c>
      <c r="U33" t="s">
        <v>368</v>
      </c>
      <c r="V33" t="s">
        <v>369</v>
      </c>
      <c r="W33">
        <v>0</v>
      </c>
      <c r="X33" t="str">
        <f t="shared" si="7"/>
        <v>&lt;0.001</v>
      </c>
      <c r="AA33" t="s">
        <v>200</v>
      </c>
      <c r="AB33" t="s">
        <v>306</v>
      </c>
      <c r="AC33" t="s">
        <v>440</v>
      </c>
      <c r="AD33" t="s">
        <v>441</v>
      </c>
    </row>
    <row r="34" spans="1:32" x14ac:dyDescent="0.3">
      <c r="A34" t="s">
        <v>218</v>
      </c>
      <c r="B34" t="s">
        <v>212</v>
      </c>
      <c r="C34" t="s">
        <v>226</v>
      </c>
      <c r="D34" t="s">
        <v>227</v>
      </c>
      <c r="E34" t="s">
        <v>228</v>
      </c>
      <c r="F34">
        <v>0.31701679999999999</v>
      </c>
      <c r="G34">
        <f t="shared" si="6"/>
        <v>0.317</v>
      </c>
      <c r="J34" t="s">
        <v>208</v>
      </c>
      <c r="S34" t="s">
        <v>218</v>
      </c>
      <c r="T34" t="s">
        <v>212</v>
      </c>
      <c r="U34" t="s">
        <v>370</v>
      </c>
      <c r="V34" t="s">
        <v>371</v>
      </c>
      <c r="W34">
        <v>9.8092470000000001E-3</v>
      </c>
      <c r="X34">
        <f t="shared" si="7"/>
        <v>0.01</v>
      </c>
      <c r="AA34" t="s">
        <v>208</v>
      </c>
    </row>
    <row r="35" spans="1:32" x14ac:dyDescent="0.3">
      <c r="A35" t="s">
        <v>219</v>
      </c>
      <c r="B35" t="s">
        <v>213</v>
      </c>
      <c r="C35" t="s">
        <v>235</v>
      </c>
      <c r="D35" t="s">
        <v>236</v>
      </c>
      <c r="E35" t="s">
        <v>237</v>
      </c>
      <c r="F35">
        <v>1.2004909999999999E-3</v>
      </c>
      <c r="G35">
        <f t="shared" si="6"/>
        <v>1E-3</v>
      </c>
      <c r="J35" t="s">
        <v>209</v>
      </c>
      <c r="K35" t="s">
        <v>307</v>
      </c>
      <c r="L35" t="s">
        <v>223</v>
      </c>
      <c r="M35" t="s">
        <v>224</v>
      </c>
      <c r="N35" t="s">
        <v>225</v>
      </c>
      <c r="O35">
        <v>0</v>
      </c>
      <c r="P35" t="str">
        <f t="shared" ref="P35:P41" si="8">IF(O35&lt;0.001,"&lt;0.001",ROUND(O35,3))</f>
        <v>&lt;0.001</v>
      </c>
      <c r="S35" t="s">
        <v>219</v>
      </c>
      <c r="T35" t="s">
        <v>213</v>
      </c>
      <c r="U35" t="s">
        <v>372</v>
      </c>
      <c r="V35" t="s">
        <v>373</v>
      </c>
      <c r="W35">
        <v>1.7700500000000001E-2</v>
      </c>
      <c r="X35">
        <f t="shared" si="7"/>
        <v>1.7999999999999999E-2</v>
      </c>
      <c r="AA35" t="s">
        <v>209</v>
      </c>
      <c r="AB35" t="s">
        <v>307</v>
      </c>
      <c r="AC35" t="s">
        <v>442</v>
      </c>
      <c r="AD35" t="s">
        <v>443</v>
      </c>
      <c r="AE35">
        <v>0</v>
      </c>
      <c r="AF35" t="str">
        <f t="shared" ref="AF35:AF49" si="9">IF(AE35&lt;0.001,"&lt;0.001",ROUND(AE35,3))</f>
        <v>&lt;0.001</v>
      </c>
    </row>
    <row r="36" spans="1:32" x14ac:dyDescent="0.3">
      <c r="A36" t="s">
        <v>220</v>
      </c>
      <c r="B36" t="s">
        <v>214</v>
      </c>
      <c r="C36" t="s">
        <v>816</v>
      </c>
      <c r="D36" t="s">
        <v>230</v>
      </c>
      <c r="E36" t="s">
        <v>231</v>
      </c>
      <c r="F36">
        <v>0</v>
      </c>
      <c r="G36" t="str">
        <f t="shared" si="6"/>
        <v>&lt;0.001</v>
      </c>
      <c r="J36" t="s">
        <v>217</v>
      </c>
      <c r="K36" t="s">
        <v>313</v>
      </c>
      <c r="L36" t="s">
        <v>241</v>
      </c>
      <c r="M36" t="s">
        <v>242</v>
      </c>
      <c r="N36" t="s">
        <v>243</v>
      </c>
      <c r="O36">
        <v>0</v>
      </c>
      <c r="P36" t="str">
        <f t="shared" si="8"/>
        <v>&lt;0.001</v>
      </c>
      <c r="S36" t="s">
        <v>220</v>
      </c>
      <c r="T36" t="s">
        <v>214</v>
      </c>
      <c r="U36" t="s">
        <v>374</v>
      </c>
      <c r="V36" t="s">
        <v>375</v>
      </c>
      <c r="W36">
        <v>0</v>
      </c>
      <c r="X36" t="str">
        <f t="shared" si="7"/>
        <v>&lt;0.001</v>
      </c>
      <c r="AA36" t="s">
        <v>217</v>
      </c>
      <c r="AB36" t="s">
        <v>313</v>
      </c>
      <c r="AC36" t="s">
        <v>444</v>
      </c>
      <c r="AD36" t="s">
        <v>445</v>
      </c>
      <c r="AE36">
        <v>0</v>
      </c>
      <c r="AF36" t="str">
        <f t="shared" si="9"/>
        <v>&lt;0.001</v>
      </c>
    </row>
    <row r="37" spans="1:32" x14ac:dyDescent="0.3">
      <c r="A37" t="s">
        <v>221</v>
      </c>
      <c r="B37" t="s">
        <v>215</v>
      </c>
      <c r="C37" t="s">
        <v>232</v>
      </c>
      <c r="D37" t="s">
        <v>233</v>
      </c>
      <c r="E37" t="s">
        <v>234</v>
      </c>
      <c r="F37">
        <v>1.8594429999999999E-2</v>
      </c>
      <c r="G37">
        <f t="shared" si="6"/>
        <v>1.9E-2</v>
      </c>
      <c r="J37" t="s">
        <v>218</v>
      </c>
      <c r="K37" t="s">
        <v>308</v>
      </c>
      <c r="L37" t="s">
        <v>226</v>
      </c>
      <c r="M37" t="s">
        <v>227</v>
      </c>
      <c r="N37" t="s">
        <v>228</v>
      </c>
      <c r="O37">
        <v>0.31701679999999999</v>
      </c>
      <c r="P37">
        <f t="shared" si="8"/>
        <v>0.317</v>
      </c>
      <c r="S37" t="s">
        <v>221</v>
      </c>
      <c r="T37" t="s">
        <v>215</v>
      </c>
      <c r="U37" t="s">
        <v>376</v>
      </c>
      <c r="V37" t="s">
        <v>377</v>
      </c>
      <c r="W37">
        <v>0.33822029999999997</v>
      </c>
      <c r="X37">
        <f t="shared" si="7"/>
        <v>0.33800000000000002</v>
      </c>
      <c r="AA37" t="s">
        <v>218</v>
      </c>
      <c r="AB37" t="s">
        <v>308</v>
      </c>
      <c r="AC37" t="s">
        <v>447</v>
      </c>
      <c r="AD37" t="s">
        <v>446</v>
      </c>
      <c r="AE37">
        <v>2.5154890000000001E-3</v>
      </c>
      <c r="AF37">
        <f t="shared" si="9"/>
        <v>3.0000000000000001E-3</v>
      </c>
    </row>
    <row r="38" spans="1:32" x14ac:dyDescent="0.3">
      <c r="A38" t="s">
        <v>222</v>
      </c>
      <c r="B38" t="s">
        <v>216</v>
      </c>
      <c r="C38" t="s">
        <v>238</v>
      </c>
      <c r="D38" t="s">
        <v>239</v>
      </c>
      <c r="E38" t="s">
        <v>240</v>
      </c>
      <c r="F38">
        <v>0</v>
      </c>
      <c r="G38" t="str">
        <f t="shared" si="6"/>
        <v>&lt;0.001</v>
      </c>
      <c r="J38" t="s">
        <v>219</v>
      </c>
      <c r="K38" t="s">
        <v>311</v>
      </c>
      <c r="L38" t="s">
        <v>235</v>
      </c>
      <c r="M38" t="s">
        <v>236</v>
      </c>
      <c r="N38" t="s">
        <v>237</v>
      </c>
      <c r="O38">
        <v>1.2004909999999999E-3</v>
      </c>
      <c r="P38">
        <f t="shared" si="8"/>
        <v>1E-3</v>
      </c>
      <c r="S38" t="s">
        <v>222</v>
      </c>
      <c r="T38" t="s">
        <v>216</v>
      </c>
      <c r="U38" t="s">
        <v>378</v>
      </c>
      <c r="V38" t="s">
        <v>379</v>
      </c>
      <c r="W38">
        <v>0</v>
      </c>
      <c r="X38" t="str">
        <f t="shared" si="7"/>
        <v>&lt;0.001</v>
      </c>
      <c r="AA38" t="s">
        <v>219</v>
      </c>
      <c r="AB38" t="s">
        <v>311</v>
      </c>
      <c r="AC38" t="s">
        <v>448</v>
      </c>
      <c r="AD38" t="s">
        <v>449</v>
      </c>
      <c r="AE38">
        <v>6.4097570000000006E-2</v>
      </c>
      <c r="AF38">
        <f t="shared" si="9"/>
        <v>6.4000000000000001E-2</v>
      </c>
    </row>
    <row r="39" spans="1:32" x14ac:dyDescent="0.3">
      <c r="A39" t="s">
        <v>244</v>
      </c>
      <c r="J39" t="s">
        <v>220</v>
      </c>
      <c r="K39" t="s">
        <v>309</v>
      </c>
      <c r="L39" t="s">
        <v>816</v>
      </c>
      <c r="M39" t="s">
        <v>230</v>
      </c>
      <c r="N39" t="s">
        <v>231</v>
      </c>
      <c r="O39">
        <v>0</v>
      </c>
      <c r="P39" t="str">
        <f t="shared" si="8"/>
        <v>&lt;0.001</v>
      </c>
      <c r="S39" t="s">
        <v>244</v>
      </c>
      <c r="AA39" t="s">
        <v>220</v>
      </c>
      <c r="AB39" t="s">
        <v>309</v>
      </c>
      <c r="AC39" t="s">
        <v>450</v>
      </c>
      <c r="AD39" t="s">
        <v>451</v>
      </c>
      <c r="AE39">
        <v>0</v>
      </c>
      <c r="AF39" t="str">
        <f t="shared" si="9"/>
        <v>&lt;0.001</v>
      </c>
    </row>
    <row r="40" spans="1:32" x14ac:dyDescent="0.3">
      <c r="A40">
        <v>1</v>
      </c>
      <c r="B40" t="s">
        <v>245</v>
      </c>
      <c r="C40" t="s">
        <v>249</v>
      </c>
      <c r="D40" t="s">
        <v>250</v>
      </c>
      <c r="E40" t="s">
        <v>251</v>
      </c>
      <c r="F40">
        <v>0</v>
      </c>
      <c r="G40" t="str">
        <f t="shared" ref="G40:G46" si="10">IF(F40&lt;0.001,"&lt;0.001",ROUND(F40,3))</f>
        <v>&lt;0.001</v>
      </c>
      <c r="J40" t="s">
        <v>221</v>
      </c>
      <c r="K40" t="s">
        <v>310</v>
      </c>
      <c r="L40" t="s">
        <v>232</v>
      </c>
      <c r="M40" t="s">
        <v>233</v>
      </c>
      <c r="N40" t="s">
        <v>234</v>
      </c>
      <c r="O40">
        <v>1.8594429999999999E-2</v>
      </c>
      <c r="P40">
        <f t="shared" si="8"/>
        <v>1.9E-2</v>
      </c>
      <c r="S40">
        <v>1</v>
      </c>
      <c r="T40" t="s">
        <v>245</v>
      </c>
      <c r="U40" t="s">
        <v>380</v>
      </c>
      <c r="V40" t="s">
        <v>381</v>
      </c>
      <c r="W40">
        <v>0</v>
      </c>
      <c r="X40" t="str">
        <f t="shared" ref="X40:X46" si="11">IF(W40&lt;0.001,"&lt;0.001",ROUND(W40,3))</f>
        <v>&lt;0.001</v>
      </c>
      <c r="AA40" t="s">
        <v>221</v>
      </c>
      <c r="AB40" t="s">
        <v>310</v>
      </c>
      <c r="AC40" t="s">
        <v>452</v>
      </c>
      <c r="AD40" t="s">
        <v>453</v>
      </c>
      <c r="AE40">
        <v>0.14785519999999999</v>
      </c>
      <c r="AF40">
        <f t="shared" si="9"/>
        <v>0.14799999999999999</v>
      </c>
    </row>
    <row r="41" spans="1:32" x14ac:dyDescent="0.3">
      <c r="A41">
        <v>2</v>
      </c>
      <c r="B41" t="s">
        <v>246</v>
      </c>
      <c r="C41" t="s">
        <v>252</v>
      </c>
      <c r="D41" t="s">
        <v>253</v>
      </c>
      <c r="E41" t="s">
        <v>254</v>
      </c>
      <c r="F41">
        <v>0</v>
      </c>
      <c r="G41" t="str">
        <f t="shared" si="10"/>
        <v>&lt;0.001</v>
      </c>
      <c r="J41" t="s">
        <v>222</v>
      </c>
      <c r="K41" t="s">
        <v>312</v>
      </c>
      <c r="L41" t="s">
        <v>238</v>
      </c>
      <c r="M41" t="s">
        <v>239</v>
      </c>
      <c r="N41" t="s">
        <v>240</v>
      </c>
      <c r="O41">
        <v>0</v>
      </c>
      <c r="P41" t="str">
        <f t="shared" si="8"/>
        <v>&lt;0.001</v>
      </c>
      <c r="S41">
        <v>2</v>
      </c>
      <c r="T41" t="s">
        <v>246</v>
      </c>
      <c r="U41" t="s">
        <v>382</v>
      </c>
      <c r="V41" t="s">
        <v>383</v>
      </c>
      <c r="W41">
        <v>0</v>
      </c>
      <c r="X41" t="str">
        <f t="shared" si="11"/>
        <v>&lt;0.001</v>
      </c>
      <c r="AA41" t="s">
        <v>222</v>
      </c>
      <c r="AB41" t="s">
        <v>312</v>
      </c>
      <c r="AC41" t="s">
        <v>454</v>
      </c>
      <c r="AD41" t="s">
        <v>455</v>
      </c>
      <c r="AE41">
        <v>0</v>
      </c>
      <c r="AF41" t="str">
        <f t="shared" si="9"/>
        <v>&lt;0.001</v>
      </c>
    </row>
    <row r="42" spans="1:32" x14ac:dyDescent="0.3">
      <c r="A42">
        <v>7</v>
      </c>
      <c r="B42" t="s">
        <v>247</v>
      </c>
      <c r="C42" t="s">
        <v>255</v>
      </c>
      <c r="D42" t="s">
        <v>256</v>
      </c>
      <c r="E42" t="s">
        <v>257</v>
      </c>
      <c r="F42">
        <v>0</v>
      </c>
      <c r="G42" t="str">
        <f t="shared" si="10"/>
        <v>&lt;0.001</v>
      </c>
      <c r="J42" t="s">
        <v>244</v>
      </c>
      <c r="S42">
        <v>7</v>
      </c>
      <c r="T42" t="s">
        <v>247</v>
      </c>
      <c r="U42" t="s">
        <v>384</v>
      </c>
      <c r="V42" t="s">
        <v>385</v>
      </c>
      <c r="W42">
        <v>0</v>
      </c>
      <c r="X42" t="str">
        <f t="shared" si="11"/>
        <v>&lt;0.001</v>
      </c>
      <c r="AA42" t="s">
        <v>244</v>
      </c>
    </row>
    <row r="43" spans="1:32" x14ac:dyDescent="0.3">
      <c r="A43">
        <v>9</v>
      </c>
      <c r="B43" t="s">
        <v>248</v>
      </c>
      <c r="C43" t="s">
        <v>258</v>
      </c>
      <c r="D43" t="s">
        <v>259</v>
      </c>
      <c r="E43" t="s">
        <v>260</v>
      </c>
      <c r="F43">
        <v>4.4129420000000004E-3</v>
      </c>
      <c r="G43">
        <f t="shared" si="10"/>
        <v>4.0000000000000001E-3</v>
      </c>
      <c r="J43">
        <v>1</v>
      </c>
      <c r="K43" t="s">
        <v>314</v>
      </c>
      <c r="L43" t="s">
        <v>249</v>
      </c>
      <c r="M43" t="s">
        <v>250</v>
      </c>
      <c r="N43" t="s">
        <v>251</v>
      </c>
      <c r="O43">
        <v>0</v>
      </c>
      <c r="P43" t="str">
        <f t="shared" ref="P43:P49" si="12">IF(O43&lt;0.001,"&lt;0.001",ROUND(O43,3))</f>
        <v>&lt;0.001</v>
      </c>
      <c r="S43">
        <v>9</v>
      </c>
      <c r="T43" t="s">
        <v>248</v>
      </c>
      <c r="U43" t="s">
        <v>386</v>
      </c>
      <c r="V43" t="s">
        <v>387</v>
      </c>
      <c r="W43">
        <v>0</v>
      </c>
      <c r="X43" t="str">
        <f t="shared" si="11"/>
        <v>&lt;0.001</v>
      </c>
      <c r="AA43">
        <v>1</v>
      </c>
      <c r="AB43" t="s">
        <v>314</v>
      </c>
      <c r="AC43" t="s">
        <v>456</v>
      </c>
      <c r="AD43" t="s">
        <v>457</v>
      </c>
      <c r="AE43">
        <v>0</v>
      </c>
      <c r="AF43" t="str">
        <f t="shared" si="9"/>
        <v>&lt;0.001</v>
      </c>
    </row>
    <row r="44" spans="1:32" x14ac:dyDescent="0.3">
      <c r="A44" t="s">
        <v>261</v>
      </c>
      <c r="B44" t="s">
        <v>262</v>
      </c>
      <c r="C44" t="s">
        <v>263</v>
      </c>
      <c r="D44" t="s">
        <v>264</v>
      </c>
      <c r="E44" t="s">
        <v>265</v>
      </c>
      <c r="F44">
        <v>0</v>
      </c>
      <c r="G44" t="str">
        <f t="shared" si="10"/>
        <v>&lt;0.001</v>
      </c>
      <c r="J44">
        <v>2</v>
      </c>
      <c r="K44" t="s">
        <v>315</v>
      </c>
      <c r="L44" t="s">
        <v>252</v>
      </c>
      <c r="M44" t="s">
        <v>253</v>
      </c>
      <c r="N44" t="s">
        <v>254</v>
      </c>
      <c r="O44">
        <v>0</v>
      </c>
      <c r="P44" t="str">
        <f t="shared" si="12"/>
        <v>&lt;0.001</v>
      </c>
      <c r="S44" t="s">
        <v>261</v>
      </c>
      <c r="T44" t="s">
        <v>262</v>
      </c>
      <c r="U44" t="s">
        <v>388</v>
      </c>
      <c r="V44" t="s">
        <v>389</v>
      </c>
      <c r="W44">
        <v>0</v>
      </c>
      <c r="X44" t="str">
        <f t="shared" si="11"/>
        <v>&lt;0.001</v>
      </c>
      <c r="AA44">
        <v>2</v>
      </c>
      <c r="AB44" t="s">
        <v>315</v>
      </c>
      <c r="AC44" t="s">
        <v>458</v>
      </c>
      <c r="AD44" t="s">
        <v>459</v>
      </c>
      <c r="AE44">
        <v>0</v>
      </c>
      <c r="AF44" t="str">
        <f t="shared" si="9"/>
        <v>&lt;0.001</v>
      </c>
    </row>
    <row r="45" spans="1:32" x14ac:dyDescent="0.3">
      <c r="A45" t="s">
        <v>266</v>
      </c>
      <c r="B45" t="s">
        <v>267</v>
      </c>
      <c r="C45" t="s">
        <v>268</v>
      </c>
      <c r="D45" t="s">
        <v>269</v>
      </c>
      <c r="E45" t="s">
        <v>270</v>
      </c>
      <c r="F45">
        <v>0</v>
      </c>
      <c r="G45" t="str">
        <f t="shared" si="10"/>
        <v>&lt;0.001</v>
      </c>
      <c r="J45">
        <v>7</v>
      </c>
      <c r="K45" t="s">
        <v>819</v>
      </c>
      <c r="L45" t="s">
        <v>255</v>
      </c>
      <c r="M45" t="s">
        <v>256</v>
      </c>
      <c r="N45" t="s">
        <v>257</v>
      </c>
      <c r="O45">
        <v>0</v>
      </c>
      <c r="P45" t="str">
        <f t="shared" si="12"/>
        <v>&lt;0.001</v>
      </c>
      <c r="S45" t="s">
        <v>266</v>
      </c>
      <c r="T45" t="s">
        <v>267</v>
      </c>
      <c r="U45" t="s">
        <v>390</v>
      </c>
      <c r="V45" t="s">
        <v>391</v>
      </c>
      <c r="W45">
        <v>0</v>
      </c>
      <c r="X45" t="str">
        <f t="shared" si="11"/>
        <v>&lt;0.001</v>
      </c>
      <c r="AA45">
        <v>7</v>
      </c>
      <c r="AB45" t="s">
        <v>316</v>
      </c>
      <c r="AC45" t="s">
        <v>460</v>
      </c>
      <c r="AD45" t="s">
        <v>461</v>
      </c>
      <c r="AE45">
        <v>0</v>
      </c>
      <c r="AF45" t="str">
        <f t="shared" si="9"/>
        <v>&lt;0.001</v>
      </c>
    </row>
    <row r="46" spans="1:32" x14ac:dyDescent="0.3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>
        <v>0</v>
      </c>
      <c r="G46" t="str">
        <f t="shared" si="10"/>
        <v>&lt;0.001</v>
      </c>
      <c r="J46">
        <v>9</v>
      </c>
      <c r="K46" t="s">
        <v>317</v>
      </c>
      <c r="L46" t="s">
        <v>258</v>
      </c>
      <c r="M46" t="s">
        <v>259</v>
      </c>
      <c r="N46" t="s">
        <v>260</v>
      </c>
      <c r="O46">
        <v>4.4129420000000004E-3</v>
      </c>
      <c r="P46">
        <f t="shared" si="12"/>
        <v>4.0000000000000001E-3</v>
      </c>
      <c r="S46" t="s">
        <v>271</v>
      </c>
      <c r="T46" t="s">
        <v>272</v>
      </c>
      <c r="U46" t="s">
        <v>392</v>
      </c>
      <c r="V46" t="s">
        <v>393</v>
      </c>
      <c r="W46">
        <v>0</v>
      </c>
      <c r="X46" t="str">
        <f t="shared" si="11"/>
        <v>&lt;0.001</v>
      </c>
      <c r="AA46">
        <v>9</v>
      </c>
      <c r="AB46" t="s">
        <v>317</v>
      </c>
      <c r="AC46" t="s">
        <v>462</v>
      </c>
      <c r="AD46" t="s">
        <v>463</v>
      </c>
      <c r="AE46">
        <v>0</v>
      </c>
      <c r="AF46" t="str">
        <f t="shared" si="9"/>
        <v>&lt;0.001</v>
      </c>
    </row>
    <row r="47" spans="1:32" x14ac:dyDescent="0.3">
      <c r="J47" t="s">
        <v>261</v>
      </c>
      <c r="K47" t="s">
        <v>319</v>
      </c>
      <c r="L47" t="s">
        <v>263</v>
      </c>
      <c r="M47" t="s">
        <v>264</v>
      </c>
      <c r="N47" t="s">
        <v>265</v>
      </c>
      <c r="O47">
        <v>0</v>
      </c>
      <c r="P47" t="str">
        <f t="shared" si="12"/>
        <v>&lt;0.001</v>
      </c>
      <c r="AA47" t="s">
        <v>261</v>
      </c>
      <c r="AB47" t="s">
        <v>319</v>
      </c>
      <c r="AC47" t="s">
        <v>464</v>
      </c>
      <c r="AD47" t="s">
        <v>465</v>
      </c>
      <c r="AE47">
        <v>0</v>
      </c>
      <c r="AF47" t="str">
        <f t="shared" si="9"/>
        <v>&lt;0.001</v>
      </c>
    </row>
    <row r="48" spans="1:32" x14ac:dyDescent="0.3">
      <c r="J48" t="s">
        <v>266</v>
      </c>
      <c r="K48" t="s">
        <v>321</v>
      </c>
      <c r="L48" t="s">
        <v>268</v>
      </c>
      <c r="M48" t="s">
        <v>269</v>
      </c>
      <c r="N48" t="s">
        <v>270</v>
      </c>
      <c r="O48">
        <v>0</v>
      </c>
      <c r="P48" t="str">
        <f t="shared" si="12"/>
        <v>&lt;0.001</v>
      </c>
      <c r="AA48" t="s">
        <v>266</v>
      </c>
      <c r="AB48" t="s">
        <v>321</v>
      </c>
      <c r="AC48" t="s">
        <v>466</v>
      </c>
      <c r="AD48" t="s">
        <v>467</v>
      </c>
      <c r="AE48">
        <v>0</v>
      </c>
      <c r="AF48" t="str">
        <f t="shared" si="9"/>
        <v>&lt;0.001</v>
      </c>
    </row>
    <row r="49" spans="1:32" x14ac:dyDescent="0.3">
      <c r="J49" t="s">
        <v>271</v>
      </c>
      <c r="K49" t="s">
        <v>322</v>
      </c>
      <c r="L49" t="s">
        <v>273</v>
      </c>
      <c r="M49" t="s">
        <v>274</v>
      </c>
      <c r="N49" t="s">
        <v>275</v>
      </c>
      <c r="O49">
        <v>0</v>
      </c>
      <c r="P49" t="str">
        <f t="shared" si="12"/>
        <v>&lt;0.001</v>
      </c>
      <c r="AA49" t="s">
        <v>271</v>
      </c>
      <c r="AB49" t="s">
        <v>322</v>
      </c>
      <c r="AC49" t="s">
        <v>468</v>
      </c>
      <c r="AD49" t="s">
        <v>469</v>
      </c>
      <c r="AE49">
        <v>0</v>
      </c>
      <c r="AF49" t="str">
        <f t="shared" si="9"/>
        <v>&lt;0.001</v>
      </c>
    </row>
    <row r="60" spans="1:32" x14ac:dyDescent="0.3">
      <c r="A60" t="s">
        <v>470</v>
      </c>
      <c r="J60" t="s">
        <v>643</v>
      </c>
      <c r="S60" t="s">
        <v>642</v>
      </c>
      <c r="AA60" t="s">
        <v>712</v>
      </c>
    </row>
    <row r="61" spans="1:32" x14ac:dyDescent="0.3">
      <c r="B61" t="s">
        <v>102</v>
      </c>
      <c r="C61" t="s">
        <v>572</v>
      </c>
      <c r="D61" t="s">
        <v>573</v>
      </c>
      <c r="E61" t="s">
        <v>8</v>
      </c>
      <c r="F61" t="s">
        <v>7</v>
      </c>
      <c r="K61" t="s">
        <v>102</v>
      </c>
      <c r="L61" t="s">
        <v>609</v>
      </c>
      <c r="M61" t="s">
        <v>610</v>
      </c>
      <c r="N61" t="s">
        <v>8</v>
      </c>
      <c r="O61" t="s">
        <v>7</v>
      </c>
      <c r="T61" t="s">
        <v>102</v>
      </c>
      <c r="U61" t="s">
        <v>609</v>
      </c>
      <c r="V61" t="s">
        <v>610</v>
      </c>
      <c r="W61" t="s">
        <v>8</v>
      </c>
      <c r="X61" t="s">
        <v>7</v>
      </c>
      <c r="AB61" t="s">
        <v>102</v>
      </c>
      <c r="AC61" t="s">
        <v>609</v>
      </c>
      <c r="AD61" t="s">
        <v>610</v>
      </c>
      <c r="AE61" t="s">
        <v>8</v>
      </c>
      <c r="AF61" t="s">
        <v>7</v>
      </c>
    </row>
    <row r="62" spans="1:32" x14ac:dyDescent="0.3">
      <c r="A62" t="s">
        <v>101</v>
      </c>
      <c r="B62" t="s">
        <v>471</v>
      </c>
      <c r="C62" t="s">
        <v>473</v>
      </c>
      <c r="D62" t="s">
        <v>472</v>
      </c>
      <c r="E62">
        <v>0</v>
      </c>
      <c r="F62" t="str">
        <f>IF(E62&lt;0.001,"&lt;0.001",ROUND(E62,3))</f>
        <v>&lt;0.001</v>
      </c>
      <c r="J62" t="s">
        <v>101</v>
      </c>
      <c r="K62" t="s">
        <v>574</v>
      </c>
      <c r="L62" t="s">
        <v>107</v>
      </c>
      <c r="M62" t="s">
        <v>611</v>
      </c>
      <c r="N62">
        <v>0</v>
      </c>
      <c r="O62" t="str">
        <f>IF(N62&lt;0.001,"&lt;0.001",ROUND(N62,3))</f>
        <v>&lt;0.001</v>
      </c>
      <c r="S62" t="s">
        <v>101</v>
      </c>
      <c r="T62" t="s">
        <v>644</v>
      </c>
      <c r="U62" t="s">
        <v>108</v>
      </c>
      <c r="V62" t="s">
        <v>645</v>
      </c>
      <c r="W62">
        <v>0</v>
      </c>
      <c r="X62" t="str">
        <f t="shared" ref="X62:X63" si="13">IF(W62&lt;0.001,"&lt;0.001",ROUND(W62,3))</f>
        <v>&lt;0.001</v>
      </c>
      <c r="AA62" t="s">
        <v>101</v>
      </c>
      <c r="AB62" t="s">
        <v>711</v>
      </c>
      <c r="AC62" t="s">
        <v>109</v>
      </c>
      <c r="AD62" t="s">
        <v>747</v>
      </c>
      <c r="AE62">
        <v>0</v>
      </c>
      <c r="AF62" t="str">
        <f t="shared" ref="AF62:AF63" si="14">IF(AE62&lt;0.001,"&lt;0.001",ROUND(AE62,3))</f>
        <v>&lt;0.001</v>
      </c>
    </row>
    <row r="63" spans="1:32" x14ac:dyDescent="0.3">
      <c r="A63" t="s">
        <v>110</v>
      </c>
      <c r="E63">
        <v>0</v>
      </c>
      <c r="F63" t="str">
        <f>IF(E63&lt;0.001,"&lt;0.001",ROUND(E63,3))</f>
        <v>&lt;0.001</v>
      </c>
      <c r="J63" t="s">
        <v>110</v>
      </c>
      <c r="S63" t="s">
        <v>110</v>
      </c>
      <c r="W63">
        <v>0</v>
      </c>
      <c r="X63" t="str">
        <f t="shared" si="13"/>
        <v>&lt;0.001</v>
      </c>
      <c r="AA63" t="s">
        <v>110</v>
      </c>
      <c r="AE63">
        <v>0</v>
      </c>
      <c r="AF63" t="str">
        <f t="shared" si="14"/>
        <v>&lt;0.001</v>
      </c>
    </row>
    <row r="64" spans="1:32" x14ac:dyDescent="0.3">
      <c r="A64" t="s">
        <v>111</v>
      </c>
      <c r="B64" t="s">
        <v>474</v>
      </c>
      <c r="C64" t="s">
        <v>478</v>
      </c>
      <c r="D64" t="s">
        <v>477</v>
      </c>
      <c r="J64" t="s">
        <v>613</v>
      </c>
      <c r="K64" t="s">
        <v>575</v>
      </c>
      <c r="L64" t="s">
        <v>142</v>
      </c>
      <c r="M64" t="s">
        <v>612</v>
      </c>
      <c r="N64">
        <v>0</v>
      </c>
      <c r="O64" t="str">
        <f>IF(N64&lt;0.001,"&lt;0.001",ROUND(N64,3))</f>
        <v>&lt;0.001</v>
      </c>
      <c r="S64" t="s">
        <v>613</v>
      </c>
      <c r="T64" t="s">
        <v>646</v>
      </c>
      <c r="U64" t="s">
        <v>142</v>
      </c>
      <c r="V64" t="s">
        <v>650</v>
      </c>
      <c r="AA64" t="s">
        <v>613</v>
      </c>
      <c r="AB64" t="s">
        <v>713</v>
      </c>
      <c r="AC64" t="s">
        <v>142</v>
      </c>
      <c r="AD64" t="s">
        <v>748</v>
      </c>
    </row>
    <row r="65" spans="1:32" x14ac:dyDescent="0.3">
      <c r="A65" t="s">
        <v>113</v>
      </c>
      <c r="B65" t="s">
        <v>475</v>
      </c>
      <c r="C65" t="s">
        <v>480</v>
      </c>
      <c r="D65" t="s">
        <v>479</v>
      </c>
      <c r="J65" t="s">
        <v>111</v>
      </c>
      <c r="K65" t="s">
        <v>576</v>
      </c>
      <c r="L65" t="s">
        <v>117</v>
      </c>
      <c r="M65" t="s">
        <v>142</v>
      </c>
      <c r="S65" t="s">
        <v>111</v>
      </c>
      <c r="T65" t="s">
        <v>647</v>
      </c>
      <c r="U65" t="s">
        <v>118</v>
      </c>
      <c r="V65" t="s">
        <v>142</v>
      </c>
      <c r="AA65" t="s">
        <v>111</v>
      </c>
      <c r="AB65" t="s">
        <v>714</v>
      </c>
      <c r="AC65" t="s">
        <v>119</v>
      </c>
      <c r="AD65" t="s">
        <v>142</v>
      </c>
    </row>
    <row r="66" spans="1:32" x14ac:dyDescent="0.3">
      <c r="A66" t="s">
        <v>115</v>
      </c>
      <c r="B66" t="s">
        <v>476</v>
      </c>
      <c r="C66" t="s">
        <v>482</v>
      </c>
      <c r="D66" t="s">
        <v>481</v>
      </c>
      <c r="J66" t="s">
        <v>113</v>
      </c>
      <c r="K66" t="s">
        <v>577</v>
      </c>
      <c r="L66" t="s">
        <v>120</v>
      </c>
      <c r="M66" t="s">
        <v>142</v>
      </c>
      <c r="S66" t="s">
        <v>113</v>
      </c>
      <c r="T66" t="s">
        <v>648</v>
      </c>
      <c r="U66" t="s">
        <v>121</v>
      </c>
      <c r="V66" t="s">
        <v>142</v>
      </c>
      <c r="AA66" t="s">
        <v>113</v>
      </c>
      <c r="AB66" t="s">
        <v>715</v>
      </c>
      <c r="AC66" t="s">
        <v>122</v>
      </c>
      <c r="AD66" t="s">
        <v>142</v>
      </c>
    </row>
    <row r="67" spans="1:32" x14ac:dyDescent="0.3">
      <c r="A67" t="s">
        <v>126</v>
      </c>
      <c r="E67">
        <v>0</v>
      </c>
      <c r="F67" t="str">
        <f>IF(E67&lt;0.001,"&lt;0.001",ROUND(E67,3))</f>
        <v>&lt;0.001</v>
      </c>
      <c r="J67" t="s">
        <v>115</v>
      </c>
      <c r="K67" t="s">
        <v>578</v>
      </c>
      <c r="L67" t="s">
        <v>123</v>
      </c>
      <c r="M67" t="s">
        <v>142</v>
      </c>
      <c r="S67" t="s">
        <v>115</v>
      </c>
      <c r="T67" t="s">
        <v>649</v>
      </c>
      <c r="U67" t="s">
        <v>124</v>
      </c>
      <c r="V67" t="s">
        <v>142</v>
      </c>
      <c r="AA67" t="s">
        <v>115</v>
      </c>
      <c r="AB67" t="s">
        <v>716</v>
      </c>
      <c r="AC67" t="s">
        <v>125</v>
      </c>
      <c r="AD67" t="s">
        <v>142</v>
      </c>
    </row>
    <row r="68" spans="1:32" x14ac:dyDescent="0.3">
      <c r="A68">
        <v>1</v>
      </c>
      <c r="B68" t="s">
        <v>483</v>
      </c>
      <c r="C68" t="s">
        <v>486</v>
      </c>
      <c r="D68" t="s">
        <v>485</v>
      </c>
      <c r="J68" t="s">
        <v>126</v>
      </c>
      <c r="N68">
        <v>1</v>
      </c>
      <c r="O68">
        <f>IF(N68&lt;0.001,"&lt;0.001",ROUND(N68,3))</f>
        <v>1</v>
      </c>
      <c r="S68" t="s">
        <v>126</v>
      </c>
      <c r="W68">
        <v>0</v>
      </c>
      <c r="X68" t="str">
        <f t="shared" ref="X68" si="15">IF(W68&lt;0.001,"&lt;0.001",ROUND(W68,3))</f>
        <v>&lt;0.001</v>
      </c>
      <c r="AA68" t="s">
        <v>126</v>
      </c>
      <c r="AE68">
        <v>0</v>
      </c>
      <c r="AF68" t="str">
        <f t="shared" ref="AF68" si="16">IF(AE68&lt;0.001,"&lt;0.001",ROUND(AE68,3))</f>
        <v>&lt;0.001</v>
      </c>
    </row>
    <row r="69" spans="1:32" x14ac:dyDescent="0.3">
      <c r="A69">
        <v>2</v>
      </c>
      <c r="B69" t="s">
        <v>484</v>
      </c>
      <c r="C69" t="s">
        <v>488</v>
      </c>
      <c r="D69" t="s">
        <v>487</v>
      </c>
      <c r="J69">
        <v>1</v>
      </c>
      <c r="K69" t="s">
        <v>579</v>
      </c>
      <c r="L69" t="s">
        <v>129</v>
      </c>
      <c r="M69" t="s">
        <v>614</v>
      </c>
      <c r="S69">
        <v>1</v>
      </c>
      <c r="T69" t="s">
        <v>651</v>
      </c>
      <c r="U69" t="s">
        <v>130</v>
      </c>
      <c r="V69" t="s">
        <v>653</v>
      </c>
      <c r="AA69">
        <v>1</v>
      </c>
      <c r="AB69" t="s">
        <v>717</v>
      </c>
      <c r="AC69" t="s">
        <v>131</v>
      </c>
      <c r="AD69" t="s">
        <v>749</v>
      </c>
    </row>
    <row r="70" spans="1:32" x14ac:dyDescent="0.3">
      <c r="A70" t="s">
        <v>137</v>
      </c>
      <c r="E70">
        <v>0</v>
      </c>
      <c r="F70" t="str">
        <f>IF(E70&lt;0.001,"&lt;0.001",ROUND(E70,3))</f>
        <v>&lt;0.001</v>
      </c>
      <c r="J70">
        <v>2</v>
      </c>
      <c r="K70" t="s">
        <v>580</v>
      </c>
      <c r="L70" t="s">
        <v>132</v>
      </c>
      <c r="M70" t="s">
        <v>615</v>
      </c>
      <c r="S70">
        <v>2</v>
      </c>
      <c r="T70" t="s">
        <v>652</v>
      </c>
      <c r="U70" t="s">
        <v>133</v>
      </c>
      <c r="V70" t="s">
        <v>654</v>
      </c>
      <c r="AA70">
        <v>2</v>
      </c>
      <c r="AB70" t="s">
        <v>718</v>
      </c>
      <c r="AC70" t="s">
        <v>134</v>
      </c>
      <c r="AD70" t="s">
        <v>750</v>
      </c>
    </row>
    <row r="71" spans="1:32" x14ac:dyDescent="0.3">
      <c r="A71" t="s">
        <v>136</v>
      </c>
      <c r="J71" t="s">
        <v>137</v>
      </c>
      <c r="N71">
        <v>0</v>
      </c>
      <c r="O71" t="str">
        <f>IF(N71&lt;0.001,"&lt;0.001",ROUND(N71,3))</f>
        <v>&lt;0.001</v>
      </c>
      <c r="S71" t="s">
        <v>137</v>
      </c>
      <c r="W71">
        <v>0</v>
      </c>
      <c r="X71" t="str">
        <f t="shared" ref="X71" si="17">IF(W71&lt;0.001,"&lt;0.001",ROUND(W71,3))</f>
        <v>&lt;0.001</v>
      </c>
      <c r="AA71" t="s">
        <v>137</v>
      </c>
    </row>
    <row r="72" spans="1:32" x14ac:dyDescent="0.3">
      <c r="A72" t="s">
        <v>135</v>
      </c>
      <c r="B72" t="s">
        <v>489</v>
      </c>
      <c r="C72" t="s">
        <v>492</v>
      </c>
      <c r="D72" t="s">
        <v>491</v>
      </c>
      <c r="J72" t="s">
        <v>136</v>
      </c>
      <c r="S72" t="s">
        <v>136</v>
      </c>
      <c r="AA72" t="s">
        <v>136</v>
      </c>
      <c r="AB72" t="s">
        <v>719</v>
      </c>
      <c r="AC72" t="s">
        <v>143</v>
      </c>
      <c r="AD72" t="s">
        <v>748</v>
      </c>
    </row>
    <row r="73" spans="1:32" x14ac:dyDescent="0.3">
      <c r="A73" t="s">
        <v>140</v>
      </c>
      <c r="B73" t="s">
        <v>490</v>
      </c>
      <c r="C73" t="s">
        <v>494</v>
      </c>
      <c r="D73" t="s">
        <v>493</v>
      </c>
      <c r="J73" t="s">
        <v>135</v>
      </c>
      <c r="K73" t="s">
        <v>581</v>
      </c>
      <c r="L73" t="s">
        <v>144</v>
      </c>
      <c r="M73" t="s">
        <v>616</v>
      </c>
      <c r="S73" t="s">
        <v>135</v>
      </c>
      <c r="T73" t="s">
        <v>655</v>
      </c>
      <c r="U73" t="s">
        <v>145</v>
      </c>
      <c r="V73" t="s">
        <v>657</v>
      </c>
      <c r="AA73" t="s">
        <v>135</v>
      </c>
      <c r="AB73" t="s">
        <v>720</v>
      </c>
    </row>
    <row r="74" spans="1:32" x14ac:dyDescent="0.3">
      <c r="A74" t="s">
        <v>13</v>
      </c>
      <c r="B74" t="s">
        <v>495</v>
      </c>
      <c r="C74" t="s">
        <v>497</v>
      </c>
      <c r="D74" t="s">
        <v>496</v>
      </c>
      <c r="E74">
        <v>0</v>
      </c>
      <c r="F74" t="str">
        <f>IF(E74&lt;0.001,"&lt;0.001",ROUND(E74,3))</f>
        <v>&lt;0.001</v>
      </c>
      <c r="J74" t="s">
        <v>140</v>
      </c>
      <c r="K74" t="s">
        <v>582</v>
      </c>
      <c r="L74" t="s">
        <v>146</v>
      </c>
      <c r="M74" t="s">
        <v>617</v>
      </c>
      <c r="S74" t="s">
        <v>140</v>
      </c>
      <c r="T74" t="s">
        <v>656</v>
      </c>
      <c r="U74" t="s">
        <v>147</v>
      </c>
      <c r="V74" t="s">
        <v>658</v>
      </c>
      <c r="AA74" t="s">
        <v>140</v>
      </c>
      <c r="AB74" t="s">
        <v>721</v>
      </c>
    </row>
    <row r="75" spans="1:32" x14ac:dyDescent="0.3">
      <c r="A75" t="s">
        <v>14</v>
      </c>
      <c r="B75" t="s">
        <v>498</v>
      </c>
      <c r="C75" t="s">
        <v>500</v>
      </c>
      <c r="D75" t="s">
        <v>499</v>
      </c>
      <c r="E75">
        <v>0</v>
      </c>
      <c r="F75" t="str">
        <f t="shared" ref="F75:F76" si="18">IF(E75&lt;0.001,"&lt;0.001",ROUND(E75,3))</f>
        <v>&lt;0.001</v>
      </c>
      <c r="J75" t="s">
        <v>13</v>
      </c>
      <c r="K75" t="s">
        <v>583</v>
      </c>
      <c r="L75" t="s">
        <v>149</v>
      </c>
      <c r="M75" t="s">
        <v>618</v>
      </c>
      <c r="N75">
        <v>0</v>
      </c>
      <c r="O75" t="str">
        <f>IF(N75&lt;0.001,"&lt;0.001",ROUND(N75,3))</f>
        <v>&lt;0.001</v>
      </c>
      <c r="S75" t="s">
        <v>13</v>
      </c>
      <c r="T75" t="s">
        <v>659</v>
      </c>
      <c r="U75" t="s">
        <v>150</v>
      </c>
      <c r="V75" t="s">
        <v>660</v>
      </c>
      <c r="W75">
        <v>5.0299999999999997E-3</v>
      </c>
      <c r="X75">
        <f t="shared" ref="X75:X77" si="19">IF(W75&lt;0.001,"&lt;0.001",ROUND(W75,3))</f>
        <v>5.0000000000000001E-3</v>
      </c>
      <c r="AA75" t="s">
        <v>13</v>
      </c>
      <c r="AB75" t="s">
        <v>751</v>
      </c>
      <c r="AC75" t="s">
        <v>751</v>
      </c>
      <c r="AD75" t="s">
        <v>751</v>
      </c>
    </row>
    <row r="76" spans="1:32" x14ac:dyDescent="0.3">
      <c r="A76" t="s">
        <v>155</v>
      </c>
      <c r="E76">
        <v>3.694791E-2</v>
      </c>
      <c r="F76">
        <f t="shared" si="18"/>
        <v>3.6999999999999998E-2</v>
      </c>
      <c r="J76" t="s">
        <v>14</v>
      </c>
      <c r="K76" t="s">
        <v>584</v>
      </c>
      <c r="L76" t="s">
        <v>153</v>
      </c>
      <c r="M76" t="s">
        <v>619</v>
      </c>
      <c r="N76">
        <v>0</v>
      </c>
      <c r="O76" t="str">
        <f t="shared" ref="O76:O77" si="20">IF(N76&lt;0.001,"&lt;0.001",ROUND(N76,3))</f>
        <v>&lt;0.001</v>
      </c>
      <c r="S76" t="s">
        <v>14</v>
      </c>
      <c r="T76" t="s">
        <v>498</v>
      </c>
      <c r="U76" t="s">
        <v>153</v>
      </c>
      <c r="V76" t="s">
        <v>343</v>
      </c>
      <c r="W76">
        <v>0</v>
      </c>
      <c r="X76" t="str">
        <f t="shared" si="19"/>
        <v>&lt;0.001</v>
      </c>
      <c r="AA76" t="s">
        <v>14</v>
      </c>
      <c r="AB76" t="s">
        <v>752</v>
      </c>
      <c r="AC76" t="s">
        <v>154</v>
      </c>
      <c r="AD76" t="s">
        <v>753</v>
      </c>
      <c r="AE76">
        <v>0</v>
      </c>
      <c r="AF76" t="str">
        <f t="shared" ref="AF76:AF77" si="21">IF(AE76&lt;0.001,"&lt;0.001",ROUND(AE76,3))</f>
        <v>&lt;0.001</v>
      </c>
    </row>
    <row r="77" spans="1:32" x14ac:dyDescent="0.3">
      <c r="A77">
        <v>1</v>
      </c>
      <c r="B77" t="s">
        <v>503</v>
      </c>
      <c r="C77" t="s">
        <v>513</v>
      </c>
      <c r="D77" t="s">
        <v>512</v>
      </c>
      <c r="J77" t="s">
        <v>155</v>
      </c>
      <c r="N77">
        <v>5.5360749999999997E-4</v>
      </c>
      <c r="O77" t="str">
        <f t="shared" si="20"/>
        <v>&lt;0.001</v>
      </c>
      <c r="S77" t="s">
        <v>155</v>
      </c>
      <c r="W77">
        <v>0</v>
      </c>
      <c r="X77" t="str">
        <f t="shared" si="19"/>
        <v>&lt;0.001</v>
      </c>
      <c r="AA77" t="s">
        <v>155</v>
      </c>
      <c r="AE77">
        <v>0</v>
      </c>
      <c r="AF77" t="str">
        <f t="shared" si="21"/>
        <v>&lt;0.001</v>
      </c>
    </row>
    <row r="78" spans="1:32" x14ac:dyDescent="0.3">
      <c r="A78">
        <v>2</v>
      </c>
      <c r="B78" t="s">
        <v>822</v>
      </c>
      <c r="C78" t="s">
        <v>511</v>
      </c>
      <c r="D78" t="s">
        <v>510</v>
      </c>
      <c r="J78">
        <v>1</v>
      </c>
      <c r="K78" t="s">
        <v>588</v>
      </c>
      <c r="L78" t="s">
        <v>173</v>
      </c>
      <c r="M78" t="s">
        <v>624</v>
      </c>
      <c r="S78">
        <v>1</v>
      </c>
      <c r="T78" t="s">
        <v>665</v>
      </c>
      <c r="U78" t="s">
        <v>174</v>
      </c>
      <c r="V78" t="s">
        <v>670</v>
      </c>
      <c r="AA78">
        <v>1</v>
      </c>
      <c r="AB78" t="s">
        <v>726</v>
      </c>
      <c r="AC78" t="s">
        <v>175</v>
      </c>
      <c r="AD78" t="s">
        <v>758</v>
      </c>
    </row>
    <row r="79" spans="1:32" x14ac:dyDescent="0.3">
      <c r="A79">
        <v>3</v>
      </c>
      <c r="B79" t="s">
        <v>502</v>
      </c>
      <c r="C79" t="s">
        <v>509</v>
      </c>
      <c r="D79" t="s">
        <v>508</v>
      </c>
      <c r="J79">
        <v>2</v>
      </c>
      <c r="K79" t="s">
        <v>587</v>
      </c>
      <c r="L79" t="s">
        <v>170</v>
      </c>
      <c r="M79" t="s">
        <v>623</v>
      </c>
      <c r="S79">
        <v>2</v>
      </c>
      <c r="T79" t="s">
        <v>664</v>
      </c>
      <c r="U79" t="s">
        <v>171</v>
      </c>
      <c r="V79" t="s">
        <v>669</v>
      </c>
      <c r="AA79">
        <v>2</v>
      </c>
      <c r="AB79" t="s">
        <v>725</v>
      </c>
      <c r="AC79" t="s">
        <v>172</v>
      </c>
      <c r="AD79" t="s">
        <v>757</v>
      </c>
    </row>
    <row r="80" spans="1:32" x14ac:dyDescent="0.3">
      <c r="A80">
        <v>4</v>
      </c>
      <c r="B80" t="s">
        <v>823</v>
      </c>
      <c r="C80" t="s">
        <v>507</v>
      </c>
      <c r="D80" t="s">
        <v>506</v>
      </c>
      <c r="J80">
        <v>3</v>
      </c>
      <c r="K80" t="s">
        <v>586</v>
      </c>
      <c r="L80" t="s">
        <v>167</v>
      </c>
      <c r="M80" t="s">
        <v>622</v>
      </c>
      <c r="S80">
        <v>3</v>
      </c>
      <c r="T80" t="s">
        <v>663</v>
      </c>
      <c r="U80" t="s">
        <v>168</v>
      </c>
      <c r="V80" t="s">
        <v>668</v>
      </c>
      <c r="AA80">
        <v>3</v>
      </c>
      <c r="AB80" t="s">
        <v>724</v>
      </c>
      <c r="AC80" t="s">
        <v>169</v>
      </c>
      <c r="AD80" t="s">
        <v>756</v>
      </c>
    </row>
    <row r="81" spans="1:32" x14ac:dyDescent="0.3">
      <c r="A81">
        <v>5</v>
      </c>
      <c r="B81" t="s">
        <v>501</v>
      </c>
      <c r="C81" t="s">
        <v>505</v>
      </c>
      <c r="D81" t="s">
        <v>504</v>
      </c>
      <c r="J81">
        <v>4</v>
      </c>
      <c r="K81" t="s">
        <v>824</v>
      </c>
      <c r="L81" t="s">
        <v>164</v>
      </c>
      <c r="M81" t="s">
        <v>621</v>
      </c>
      <c r="S81">
        <v>4</v>
      </c>
      <c r="T81" t="s">
        <v>662</v>
      </c>
      <c r="U81" t="s">
        <v>165</v>
      </c>
      <c r="V81" t="s">
        <v>667</v>
      </c>
      <c r="AA81">
        <v>4</v>
      </c>
      <c r="AB81" t="s">
        <v>723</v>
      </c>
      <c r="AC81" t="s">
        <v>166</v>
      </c>
      <c r="AD81" t="s">
        <v>755</v>
      </c>
    </row>
    <row r="82" spans="1:32" x14ac:dyDescent="0.3">
      <c r="A82" t="s">
        <v>176</v>
      </c>
      <c r="E82">
        <v>0</v>
      </c>
      <c r="F82" t="str">
        <f t="shared" ref="F82" si="22">IF(E82&lt;0.001,"&lt;0.001",ROUND(E82,3))</f>
        <v>&lt;0.001</v>
      </c>
      <c r="J82">
        <v>5</v>
      </c>
      <c r="K82" t="s">
        <v>585</v>
      </c>
      <c r="L82" t="s">
        <v>161</v>
      </c>
      <c r="M82" t="s">
        <v>620</v>
      </c>
      <c r="S82">
        <v>5</v>
      </c>
      <c r="T82" t="s">
        <v>661</v>
      </c>
      <c r="U82" t="s">
        <v>162</v>
      </c>
      <c r="V82" t="s">
        <v>666</v>
      </c>
      <c r="AA82">
        <v>5</v>
      </c>
      <c r="AB82" t="s">
        <v>722</v>
      </c>
      <c r="AC82" t="s">
        <v>163</v>
      </c>
      <c r="AD82" t="s">
        <v>754</v>
      </c>
    </row>
    <row r="83" spans="1:32" x14ac:dyDescent="0.3">
      <c r="A83" s="3" t="s">
        <v>182</v>
      </c>
      <c r="B83" t="s">
        <v>514</v>
      </c>
      <c r="C83" t="s">
        <v>519</v>
      </c>
      <c r="D83" t="s">
        <v>518</v>
      </c>
      <c r="J83" t="s">
        <v>176</v>
      </c>
      <c r="N83">
        <v>0</v>
      </c>
      <c r="O83" t="str">
        <f>IF(N83&lt;0.001,"&lt;0.001",ROUND(N83,3))</f>
        <v>&lt;0.001</v>
      </c>
      <c r="S83" t="s">
        <v>176</v>
      </c>
      <c r="W83">
        <v>0</v>
      </c>
      <c r="X83" t="str">
        <f t="shared" ref="X83" si="23">IF(W83&lt;0.001,"&lt;0.001",ROUND(W83,3))</f>
        <v>&lt;0.001</v>
      </c>
      <c r="AA83" t="s">
        <v>176</v>
      </c>
      <c r="AE83">
        <v>0</v>
      </c>
      <c r="AF83" t="str">
        <f t="shared" ref="AF83" si="24">IF(AE83&lt;0.001,"&lt;0.001",ROUND(AE83,3))</f>
        <v>&lt;0.001</v>
      </c>
    </row>
    <row r="84" spans="1:32" x14ac:dyDescent="0.3">
      <c r="A84" s="3" t="s">
        <v>183</v>
      </c>
      <c r="B84" t="s">
        <v>515</v>
      </c>
      <c r="C84" t="s">
        <v>521</v>
      </c>
      <c r="D84" t="s">
        <v>520</v>
      </c>
      <c r="J84" s="3" t="s">
        <v>182</v>
      </c>
      <c r="K84" t="s">
        <v>589</v>
      </c>
      <c r="L84" t="s">
        <v>188</v>
      </c>
      <c r="M84" t="s">
        <v>625</v>
      </c>
      <c r="S84" s="3" t="s">
        <v>182</v>
      </c>
      <c r="T84" t="s">
        <v>671</v>
      </c>
      <c r="U84" t="s">
        <v>189</v>
      </c>
      <c r="V84" t="s">
        <v>657</v>
      </c>
      <c r="AA84" s="3" t="s">
        <v>182</v>
      </c>
      <c r="AB84" t="s">
        <v>727</v>
      </c>
      <c r="AC84" t="s">
        <v>190</v>
      </c>
      <c r="AD84" t="s">
        <v>759</v>
      </c>
    </row>
    <row r="85" spans="1:32" x14ac:dyDescent="0.3">
      <c r="A85" s="3" t="s">
        <v>184</v>
      </c>
      <c r="B85" t="s">
        <v>516</v>
      </c>
      <c r="C85" t="s">
        <v>523</v>
      </c>
      <c r="D85" t="s">
        <v>522</v>
      </c>
      <c r="J85" s="3" t="s">
        <v>183</v>
      </c>
      <c r="K85" t="s">
        <v>590</v>
      </c>
      <c r="L85" t="s">
        <v>191</v>
      </c>
      <c r="M85" t="s">
        <v>626</v>
      </c>
      <c r="S85" s="3" t="s">
        <v>183</v>
      </c>
      <c r="T85" t="s">
        <v>672</v>
      </c>
      <c r="U85" t="s">
        <v>192</v>
      </c>
      <c r="V85" t="s">
        <v>675</v>
      </c>
      <c r="AA85" s="3" t="s">
        <v>183</v>
      </c>
      <c r="AB85" t="s">
        <v>728</v>
      </c>
      <c r="AC85" t="s">
        <v>193</v>
      </c>
      <c r="AD85" t="s">
        <v>760</v>
      </c>
    </row>
    <row r="86" spans="1:32" x14ac:dyDescent="0.3">
      <c r="A86" t="s">
        <v>177</v>
      </c>
      <c r="B86" t="s">
        <v>517</v>
      </c>
      <c r="C86" t="s">
        <v>525</v>
      </c>
      <c r="D86" t="s">
        <v>524</v>
      </c>
      <c r="J86" s="3" t="s">
        <v>184</v>
      </c>
      <c r="K86" t="s">
        <v>591</v>
      </c>
      <c r="L86" t="s">
        <v>194</v>
      </c>
      <c r="M86" t="s">
        <v>627</v>
      </c>
      <c r="S86" s="3" t="s">
        <v>184</v>
      </c>
      <c r="T86" t="s">
        <v>673</v>
      </c>
      <c r="U86" t="s">
        <v>195</v>
      </c>
      <c r="V86" t="s">
        <v>677</v>
      </c>
      <c r="AA86" s="3" t="s">
        <v>184</v>
      </c>
      <c r="AB86" t="s">
        <v>729</v>
      </c>
      <c r="AC86" t="s">
        <v>196</v>
      </c>
      <c r="AD86" t="s">
        <v>761</v>
      </c>
    </row>
    <row r="87" spans="1:32" x14ac:dyDescent="0.3">
      <c r="A87" t="s">
        <v>197</v>
      </c>
      <c r="E87">
        <v>0</v>
      </c>
      <c r="F87" t="str">
        <f t="shared" ref="F87" si="25">IF(E87&lt;0.001,"&lt;0.001",ROUND(E87,3))</f>
        <v>&lt;0.001</v>
      </c>
      <c r="J87" t="s">
        <v>177</v>
      </c>
      <c r="K87" t="s">
        <v>592</v>
      </c>
      <c r="L87" t="s">
        <v>185</v>
      </c>
      <c r="M87" t="s">
        <v>628</v>
      </c>
      <c r="S87" t="s">
        <v>177</v>
      </c>
      <c r="T87" t="s">
        <v>674</v>
      </c>
      <c r="U87" t="s">
        <v>186</v>
      </c>
      <c r="V87" t="s">
        <v>676</v>
      </c>
      <c r="AA87" t="s">
        <v>177</v>
      </c>
      <c r="AB87" t="s">
        <v>730</v>
      </c>
      <c r="AC87" t="s">
        <v>187</v>
      </c>
      <c r="AD87" t="s">
        <v>762</v>
      </c>
    </row>
    <row r="88" spans="1:32" x14ac:dyDescent="0.3">
      <c r="A88" t="s">
        <v>198</v>
      </c>
      <c r="B88" t="s">
        <v>526</v>
      </c>
      <c r="C88" t="s">
        <v>529</v>
      </c>
      <c r="D88" t="s">
        <v>528</v>
      </c>
      <c r="J88" t="s">
        <v>197</v>
      </c>
      <c r="N88">
        <v>1.1579699999999999E-3</v>
      </c>
      <c r="O88">
        <f>IF(N88&lt;0.001,"&lt;0.001",ROUND(N88,3))</f>
        <v>1E-3</v>
      </c>
      <c r="S88" t="s">
        <v>197</v>
      </c>
      <c r="W88">
        <v>2.6286539999999998E-3</v>
      </c>
      <c r="X88">
        <f t="shared" ref="X88" si="26">IF(W88&lt;0.001,"&lt;0.001",ROUND(W88,3))</f>
        <v>3.0000000000000001E-3</v>
      </c>
      <c r="AA88" t="s">
        <v>197</v>
      </c>
      <c r="AE88">
        <v>0.48131370000000001</v>
      </c>
      <c r="AF88">
        <f t="shared" ref="AF88" si="27">IF(AE88&lt;0.001,"&lt;0.001",ROUND(AE88,3))</f>
        <v>0.48099999999999998</v>
      </c>
    </row>
    <row r="89" spans="1:32" x14ac:dyDescent="0.3">
      <c r="A89" t="s">
        <v>200</v>
      </c>
      <c r="B89" t="s">
        <v>527</v>
      </c>
      <c r="C89" t="s">
        <v>531</v>
      </c>
      <c r="D89" t="s">
        <v>530</v>
      </c>
      <c r="J89" t="s">
        <v>198</v>
      </c>
      <c r="K89" t="s">
        <v>593</v>
      </c>
      <c r="L89" t="s">
        <v>202</v>
      </c>
      <c r="M89" t="s">
        <v>629</v>
      </c>
      <c r="S89" t="s">
        <v>198</v>
      </c>
      <c r="T89" t="s">
        <v>678</v>
      </c>
      <c r="U89" t="s">
        <v>203</v>
      </c>
      <c r="V89" t="s">
        <v>680</v>
      </c>
      <c r="AA89" t="s">
        <v>198</v>
      </c>
      <c r="AB89" t="s">
        <v>731</v>
      </c>
      <c r="AC89" t="s">
        <v>204</v>
      </c>
      <c r="AD89" t="s">
        <v>763</v>
      </c>
    </row>
    <row r="90" spans="1:32" x14ac:dyDescent="0.3">
      <c r="A90" t="s">
        <v>208</v>
      </c>
      <c r="J90" t="s">
        <v>200</v>
      </c>
      <c r="K90" t="s">
        <v>594</v>
      </c>
      <c r="L90" t="s">
        <v>205</v>
      </c>
      <c r="M90" t="s">
        <v>630</v>
      </c>
      <c r="S90" t="s">
        <v>200</v>
      </c>
      <c r="T90" t="s">
        <v>679</v>
      </c>
      <c r="U90" t="s">
        <v>206</v>
      </c>
      <c r="V90" t="s">
        <v>681</v>
      </c>
      <c r="AA90" t="s">
        <v>200</v>
      </c>
      <c r="AB90" t="s">
        <v>732</v>
      </c>
      <c r="AC90" t="s">
        <v>207</v>
      </c>
      <c r="AD90" t="s">
        <v>764</v>
      </c>
    </row>
    <row r="91" spans="1:32" x14ac:dyDescent="0.3">
      <c r="A91" t="s">
        <v>209</v>
      </c>
      <c r="B91" t="s">
        <v>532</v>
      </c>
      <c r="C91" t="s">
        <v>540</v>
      </c>
      <c r="D91" t="s">
        <v>539</v>
      </c>
      <c r="E91">
        <v>0</v>
      </c>
      <c r="F91" t="str">
        <f t="shared" ref="F91:F105" si="28">IF(E91&lt;0.001,"&lt;0.001",ROUND(E91,3))</f>
        <v>&lt;0.001</v>
      </c>
      <c r="J91" t="s">
        <v>208</v>
      </c>
      <c r="S91" t="s">
        <v>208</v>
      </c>
      <c r="AA91" t="s">
        <v>208</v>
      </c>
    </row>
    <row r="92" spans="1:32" x14ac:dyDescent="0.3">
      <c r="A92" t="s">
        <v>217</v>
      </c>
      <c r="B92" t="s">
        <v>533</v>
      </c>
      <c r="C92" t="s">
        <v>542</v>
      </c>
      <c r="D92" t="s">
        <v>541</v>
      </c>
      <c r="E92">
        <v>0</v>
      </c>
      <c r="F92" t="str">
        <f t="shared" si="28"/>
        <v>&lt;0.001</v>
      </c>
      <c r="J92" t="s">
        <v>209</v>
      </c>
      <c r="K92" t="s">
        <v>595</v>
      </c>
      <c r="L92" t="s">
        <v>223</v>
      </c>
      <c r="M92" t="s">
        <v>631</v>
      </c>
      <c r="N92">
        <v>0</v>
      </c>
      <c r="O92" t="str">
        <f>IF(N92&lt;0.001,"&lt;0.001",ROUND(N92,3))</f>
        <v>&lt;0.001</v>
      </c>
      <c r="S92" t="s">
        <v>209</v>
      </c>
      <c r="T92" t="s">
        <v>682</v>
      </c>
      <c r="U92" t="s">
        <v>224</v>
      </c>
      <c r="V92" t="s">
        <v>689</v>
      </c>
      <c r="W92">
        <v>0</v>
      </c>
      <c r="X92" t="str">
        <f t="shared" ref="X92:X98" si="29">IF(W92&lt;0.001,"&lt;0.001",ROUND(W92,3))</f>
        <v>&lt;0.001</v>
      </c>
      <c r="AA92" t="s">
        <v>209</v>
      </c>
      <c r="AB92" t="s">
        <v>733</v>
      </c>
      <c r="AC92" t="s">
        <v>225</v>
      </c>
      <c r="AD92" t="s">
        <v>765</v>
      </c>
      <c r="AE92">
        <v>0</v>
      </c>
      <c r="AF92" t="str">
        <f t="shared" ref="AF92:AF98" si="30">IF(AE92&lt;0.001,"&lt;0.001",ROUND(AE92,3))</f>
        <v>&lt;0.001</v>
      </c>
    </row>
    <row r="93" spans="1:32" x14ac:dyDescent="0.3">
      <c r="A93" t="s">
        <v>218</v>
      </c>
      <c r="B93" t="s">
        <v>534</v>
      </c>
      <c r="C93" t="s">
        <v>544</v>
      </c>
      <c r="D93" t="s">
        <v>543</v>
      </c>
      <c r="E93">
        <v>0.21772759999999999</v>
      </c>
      <c r="F93">
        <f t="shared" si="28"/>
        <v>0.218</v>
      </c>
      <c r="J93" t="s">
        <v>217</v>
      </c>
      <c r="K93" t="s">
        <v>596</v>
      </c>
      <c r="L93" t="s">
        <v>241</v>
      </c>
      <c r="M93" t="s">
        <v>632</v>
      </c>
      <c r="N93">
        <v>0</v>
      </c>
      <c r="O93" t="str">
        <f t="shared" ref="O93:O98" si="31">IF(N93&lt;0.001,"&lt;0.001",ROUND(N93,3))</f>
        <v>&lt;0.001</v>
      </c>
      <c r="S93" t="s">
        <v>217</v>
      </c>
      <c r="T93" t="s">
        <v>683</v>
      </c>
      <c r="U93" t="s">
        <v>242</v>
      </c>
      <c r="V93" t="s">
        <v>690</v>
      </c>
      <c r="W93">
        <v>0</v>
      </c>
      <c r="X93" t="str">
        <f t="shared" si="29"/>
        <v>&lt;0.001</v>
      </c>
      <c r="AA93" t="s">
        <v>217</v>
      </c>
      <c r="AB93" t="s">
        <v>734</v>
      </c>
      <c r="AC93" t="s">
        <v>243</v>
      </c>
      <c r="AD93" t="s">
        <v>766</v>
      </c>
      <c r="AE93">
        <v>0</v>
      </c>
      <c r="AF93" t="str">
        <f t="shared" si="30"/>
        <v>&lt;0.001</v>
      </c>
    </row>
    <row r="94" spans="1:32" x14ac:dyDescent="0.3">
      <c r="A94" t="s">
        <v>219</v>
      </c>
      <c r="B94" t="s">
        <v>535</v>
      </c>
      <c r="C94" t="s">
        <v>546</v>
      </c>
      <c r="D94" t="s">
        <v>545</v>
      </c>
      <c r="E94">
        <v>0.22679279999999999</v>
      </c>
      <c r="F94">
        <f t="shared" si="28"/>
        <v>0.22700000000000001</v>
      </c>
      <c r="J94" t="s">
        <v>218</v>
      </c>
      <c r="K94" t="s">
        <v>597</v>
      </c>
      <c r="L94" t="s">
        <v>226</v>
      </c>
      <c r="M94" t="s">
        <v>633</v>
      </c>
      <c r="N94">
        <v>0.97441800000000001</v>
      </c>
      <c r="O94">
        <f t="shared" si="31"/>
        <v>0.97399999999999998</v>
      </c>
      <c r="S94" t="s">
        <v>218</v>
      </c>
      <c r="T94" t="s">
        <v>684</v>
      </c>
      <c r="U94" t="s">
        <v>227</v>
      </c>
      <c r="V94" t="s">
        <v>691</v>
      </c>
      <c r="W94">
        <v>0.67446269999999997</v>
      </c>
      <c r="X94">
        <f t="shared" si="29"/>
        <v>0.67400000000000004</v>
      </c>
      <c r="AA94" t="s">
        <v>218</v>
      </c>
      <c r="AB94" t="s">
        <v>735</v>
      </c>
      <c r="AC94" t="s">
        <v>228</v>
      </c>
      <c r="AD94" t="s">
        <v>767</v>
      </c>
      <c r="AE94">
        <v>0.19960900000000001</v>
      </c>
      <c r="AF94">
        <f t="shared" si="30"/>
        <v>0.2</v>
      </c>
    </row>
    <row r="95" spans="1:32" x14ac:dyDescent="0.3">
      <c r="A95" t="s">
        <v>220</v>
      </c>
      <c r="B95" t="s">
        <v>536</v>
      </c>
      <c r="C95" t="s">
        <v>547</v>
      </c>
      <c r="D95" t="s">
        <v>543</v>
      </c>
      <c r="E95">
        <v>8.4607109999999992E-3</v>
      </c>
      <c r="F95">
        <f t="shared" si="28"/>
        <v>8.0000000000000002E-3</v>
      </c>
      <c r="J95" t="s">
        <v>219</v>
      </c>
      <c r="K95" t="s">
        <v>598</v>
      </c>
      <c r="L95" t="s">
        <v>235</v>
      </c>
      <c r="M95" t="s">
        <v>634</v>
      </c>
      <c r="N95">
        <v>0.16743949999999999</v>
      </c>
      <c r="O95">
        <f t="shared" si="31"/>
        <v>0.16700000000000001</v>
      </c>
      <c r="S95" t="s">
        <v>219</v>
      </c>
      <c r="T95" t="s">
        <v>685</v>
      </c>
      <c r="U95" t="s">
        <v>236</v>
      </c>
      <c r="V95" t="s">
        <v>692</v>
      </c>
      <c r="W95">
        <v>0.20924980000000001</v>
      </c>
      <c r="X95">
        <f t="shared" si="29"/>
        <v>0.20899999999999999</v>
      </c>
      <c r="AA95" t="s">
        <v>219</v>
      </c>
      <c r="AB95" t="s">
        <v>736</v>
      </c>
      <c r="AC95" t="s">
        <v>237</v>
      </c>
      <c r="AD95" t="s">
        <v>768</v>
      </c>
      <c r="AE95">
        <v>0.69603440000000005</v>
      </c>
      <c r="AF95">
        <f t="shared" si="30"/>
        <v>0.69599999999999995</v>
      </c>
    </row>
    <row r="96" spans="1:32" x14ac:dyDescent="0.3">
      <c r="A96" t="s">
        <v>221</v>
      </c>
      <c r="B96" t="s">
        <v>537</v>
      </c>
      <c r="C96" t="s">
        <v>549</v>
      </c>
      <c r="D96" t="s">
        <v>548</v>
      </c>
      <c r="E96">
        <v>0.1561757</v>
      </c>
      <c r="F96">
        <f t="shared" si="28"/>
        <v>0.156</v>
      </c>
      <c r="J96" t="s">
        <v>220</v>
      </c>
      <c r="K96" t="s">
        <v>599</v>
      </c>
      <c r="L96" t="s">
        <v>229</v>
      </c>
      <c r="M96" t="s">
        <v>634</v>
      </c>
      <c r="N96">
        <v>0.98335490000000003</v>
      </c>
      <c r="O96">
        <f t="shared" si="31"/>
        <v>0.98299999999999998</v>
      </c>
      <c r="S96" t="s">
        <v>220</v>
      </c>
      <c r="T96" t="s">
        <v>686</v>
      </c>
      <c r="U96" t="s">
        <v>230</v>
      </c>
      <c r="V96" t="s">
        <v>693</v>
      </c>
      <c r="W96">
        <v>0.15178849999999999</v>
      </c>
      <c r="X96">
        <f t="shared" si="29"/>
        <v>0.152</v>
      </c>
      <c r="AA96" t="s">
        <v>220</v>
      </c>
      <c r="AB96" t="s">
        <v>737</v>
      </c>
      <c r="AC96" t="s">
        <v>231</v>
      </c>
      <c r="AD96" t="s">
        <v>769</v>
      </c>
      <c r="AE96">
        <v>0.2221902</v>
      </c>
      <c r="AF96">
        <f t="shared" si="30"/>
        <v>0.222</v>
      </c>
    </row>
    <row r="97" spans="1:32" x14ac:dyDescent="0.3">
      <c r="A97" t="s">
        <v>222</v>
      </c>
      <c r="B97" t="s">
        <v>538</v>
      </c>
      <c r="C97" t="s">
        <v>551</v>
      </c>
      <c r="D97" t="s">
        <v>550</v>
      </c>
      <c r="E97">
        <v>0</v>
      </c>
      <c r="F97" t="str">
        <f t="shared" si="28"/>
        <v>&lt;0.001</v>
      </c>
      <c r="J97" t="s">
        <v>221</v>
      </c>
      <c r="K97" t="s">
        <v>600</v>
      </c>
      <c r="L97" t="s">
        <v>232</v>
      </c>
      <c r="M97" t="s">
        <v>629</v>
      </c>
      <c r="N97">
        <v>7.038606E-2</v>
      </c>
      <c r="O97">
        <f t="shared" si="31"/>
        <v>7.0000000000000007E-2</v>
      </c>
      <c r="S97" t="s">
        <v>221</v>
      </c>
      <c r="T97" t="s">
        <v>687</v>
      </c>
      <c r="U97" t="s">
        <v>233</v>
      </c>
      <c r="V97" t="s">
        <v>694</v>
      </c>
      <c r="W97">
        <v>0.59656549999999997</v>
      </c>
      <c r="X97">
        <f t="shared" si="29"/>
        <v>0.59699999999999998</v>
      </c>
      <c r="AA97" t="s">
        <v>221</v>
      </c>
      <c r="AB97" t="s">
        <v>738</v>
      </c>
      <c r="AC97" t="s">
        <v>234</v>
      </c>
      <c r="AD97" t="s">
        <v>770</v>
      </c>
      <c r="AE97">
        <v>0.37591659999999999</v>
      </c>
      <c r="AF97">
        <f t="shared" si="30"/>
        <v>0.376</v>
      </c>
    </row>
    <row r="98" spans="1:32" x14ac:dyDescent="0.3">
      <c r="A98" t="s">
        <v>244</v>
      </c>
      <c r="J98" t="s">
        <v>222</v>
      </c>
      <c r="K98" t="s">
        <v>601</v>
      </c>
      <c r="L98" t="s">
        <v>238</v>
      </c>
      <c r="M98" t="s">
        <v>621</v>
      </c>
      <c r="N98">
        <v>4.3976360000000001E-4</v>
      </c>
      <c r="O98" t="str">
        <f t="shared" si="31"/>
        <v>&lt;0.001</v>
      </c>
      <c r="S98" t="s">
        <v>222</v>
      </c>
      <c r="T98" t="s">
        <v>688</v>
      </c>
      <c r="U98" t="s">
        <v>696</v>
      </c>
      <c r="V98" t="s">
        <v>695</v>
      </c>
      <c r="W98">
        <v>0</v>
      </c>
      <c r="X98" t="str">
        <f t="shared" si="29"/>
        <v>&lt;0.001</v>
      </c>
      <c r="AA98" t="s">
        <v>222</v>
      </c>
      <c r="AB98" t="s">
        <v>739</v>
      </c>
      <c r="AC98" t="s">
        <v>240</v>
      </c>
      <c r="AD98" t="s">
        <v>771</v>
      </c>
      <c r="AE98">
        <v>0</v>
      </c>
      <c r="AF98" t="str">
        <f t="shared" si="30"/>
        <v>&lt;0.001</v>
      </c>
    </row>
    <row r="99" spans="1:32" x14ac:dyDescent="0.3">
      <c r="A99">
        <v>1</v>
      </c>
      <c r="B99" t="s">
        <v>552</v>
      </c>
      <c r="C99" t="s">
        <v>557</v>
      </c>
      <c r="D99" t="s">
        <v>556</v>
      </c>
      <c r="E99">
        <v>0</v>
      </c>
      <c r="F99" t="str">
        <f t="shared" si="28"/>
        <v>&lt;0.001</v>
      </c>
      <c r="J99" t="s">
        <v>244</v>
      </c>
      <c r="S99" t="s">
        <v>244</v>
      </c>
      <c r="AA99" t="s">
        <v>244</v>
      </c>
    </row>
    <row r="100" spans="1:32" x14ac:dyDescent="0.3">
      <c r="A100">
        <v>2</v>
      </c>
      <c r="B100" t="s">
        <v>553</v>
      </c>
      <c r="C100" t="s">
        <v>558</v>
      </c>
      <c r="D100" t="s">
        <v>493</v>
      </c>
      <c r="E100">
        <v>0</v>
      </c>
      <c r="F100" t="str">
        <f t="shared" si="28"/>
        <v>&lt;0.001</v>
      </c>
      <c r="J100">
        <v>1</v>
      </c>
      <c r="K100" t="s">
        <v>602</v>
      </c>
      <c r="L100" t="s">
        <v>249</v>
      </c>
      <c r="M100" t="s">
        <v>635</v>
      </c>
      <c r="N100">
        <v>0.52510259999999997</v>
      </c>
      <c r="O100">
        <f>IF(N100&lt;0.001,"&lt;0.001",ROUND(N100,3))</f>
        <v>0.52500000000000002</v>
      </c>
      <c r="S100">
        <v>1</v>
      </c>
      <c r="T100" t="s">
        <v>697</v>
      </c>
      <c r="U100" t="s">
        <v>250</v>
      </c>
      <c r="V100" t="s">
        <v>701</v>
      </c>
      <c r="W100">
        <v>0</v>
      </c>
      <c r="X100" t="str">
        <f t="shared" ref="X100:X106" si="32">IF(W100&lt;0.001,"&lt;0.001",ROUND(W100,3))</f>
        <v>&lt;0.001</v>
      </c>
      <c r="AA100">
        <v>1</v>
      </c>
      <c r="AB100" t="s">
        <v>740</v>
      </c>
      <c r="AC100" t="s">
        <v>251</v>
      </c>
      <c r="AD100" t="s">
        <v>772</v>
      </c>
      <c r="AE100">
        <v>0</v>
      </c>
      <c r="AF100" t="str">
        <f t="shared" ref="AF100:AF106" si="33">IF(AE100&lt;0.001,"&lt;0.001",ROUND(AE100,3))</f>
        <v>&lt;0.001</v>
      </c>
    </row>
    <row r="101" spans="1:32" x14ac:dyDescent="0.3">
      <c r="A101">
        <v>7</v>
      </c>
      <c r="B101" t="s">
        <v>554</v>
      </c>
      <c r="C101" t="s">
        <v>560</v>
      </c>
      <c r="D101" t="s">
        <v>559</v>
      </c>
      <c r="E101">
        <v>0.61118380000000005</v>
      </c>
      <c r="F101">
        <f t="shared" si="28"/>
        <v>0.61099999999999999</v>
      </c>
      <c r="J101">
        <v>2</v>
      </c>
      <c r="K101" t="s">
        <v>603</v>
      </c>
      <c r="L101" t="s">
        <v>252</v>
      </c>
      <c r="M101" t="s">
        <v>636</v>
      </c>
      <c r="N101">
        <v>0.39713609999999999</v>
      </c>
      <c r="O101">
        <f t="shared" ref="O101:O106" si="34">IF(N101&lt;0.001,"&lt;0.001",ROUND(N101,3))</f>
        <v>0.39700000000000002</v>
      </c>
      <c r="S101">
        <v>2</v>
      </c>
      <c r="T101" t="s">
        <v>698</v>
      </c>
      <c r="U101" t="s">
        <v>253</v>
      </c>
      <c r="V101" t="s">
        <v>702</v>
      </c>
      <c r="W101">
        <v>3.1965489999999999E-2</v>
      </c>
      <c r="X101">
        <f t="shared" si="32"/>
        <v>3.2000000000000001E-2</v>
      </c>
      <c r="AA101">
        <v>2</v>
      </c>
      <c r="AB101" t="s">
        <v>741</v>
      </c>
      <c r="AC101" t="s">
        <v>254</v>
      </c>
      <c r="AD101" t="s">
        <v>773</v>
      </c>
      <c r="AE101">
        <v>7.4700920000000002E-3</v>
      </c>
      <c r="AF101">
        <f t="shared" si="33"/>
        <v>7.0000000000000001E-3</v>
      </c>
    </row>
    <row r="102" spans="1:32" x14ac:dyDescent="0.3">
      <c r="A102">
        <v>9</v>
      </c>
      <c r="B102" t="s">
        <v>555</v>
      </c>
      <c r="C102" t="s">
        <v>562</v>
      </c>
      <c r="D102" t="s">
        <v>561</v>
      </c>
      <c r="E102">
        <v>0.28921049999999998</v>
      </c>
      <c r="F102">
        <f t="shared" si="28"/>
        <v>0.28899999999999998</v>
      </c>
      <c r="J102">
        <v>7</v>
      </c>
      <c r="K102" t="s">
        <v>604</v>
      </c>
      <c r="L102" t="s">
        <v>255</v>
      </c>
      <c r="M102" t="s">
        <v>637</v>
      </c>
      <c r="N102">
        <v>0.26530379999999998</v>
      </c>
      <c r="O102">
        <f t="shared" si="34"/>
        <v>0.26500000000000001</v>
      </c>
      <c r="S102">
        <v>7</v>
      </c>
      <c r="T102" t="s">
        <v>699</v>
      </c>
      <c r="U102" t="s">
        <v>256</v>
      </c>
      <c r="V102" t="s">
        <v>703</v>
      </c>
      <c r="W102">
        <v>0.86844469999999996</v>
      </c>
      <c r="X102">
        <f t="shared" si="32"/>
        <v>0.86799999999999999</v>
      </c>
      <c r="AA102">
        <v>7</v>
      </c>
      <c r="AB102" t="s">
        <v>742</v>
      </c>
      <c r="AC102" t="s">
        <v>257</v>
      </c>
      <c r="AD102" t="s">
        <v>774</v>
      </c>
      <c r="AE102">
        <v>0.12730069999999999</v>
      </c>
      <c r="AF102">
        <f t="shared" si="33"/>
        <v>0.127</v>
      </c>
    </row>
    <row r="103" spans="1:32" x14ac:dyDescent="0.3">
      <c r="A103" t="s">
        <v>261</v>
      </c>
      <c r="B103" t="s">
        <v>563</v>
      </c>
      <c r="C103" t="s">
        <v>565</v>
      </c>
      <c r="D103" t="s">
        <v>564</v>
      </c>
      <c r="E103">
        <v>0</v>
      </c>
      <c r="F103" t="str">
        <f t="shared" si="28"/>
        <v>&lt;0.001</v>
      </c>
      <c r="J103">
        <v>9</v>
      </c>
      <c r="K103" t="s">
        <v>605</v>
      </c>
      <c r="L103" t="s">
        <v>258</v>
      </c>
      <c r="M103" t="s">
        <v>638</v>
      </c>
      <c r="N103">
        <v>8.1809309999999996E-2</v>
      </c>
      <c r="O103">
        <f t="shared" si="34"/>
        <v>8.2000000000000003E-2</v>
      </c>
      <c r="S103">
        <v>9</v>
      </c>
      <c r="T103" t="s">
        <v>700</v>
      </c>
      <c r="U103" t="s">
        <v>259</v>
      </c>
      <c r="V103" t="s">
        <v>704</v>
      </c>
      <c r="W103">
        <v>6.1544649999999996E-3</v>
      </c>
      <c r="X103">
        <f t="shared" si="32"/>
        <v>6.0000000000000001E-3</v>
      </c>
      <c r="AA103">
        <v>9</v>
      </c>
      <c r="AB103" t="s">
        <v>743</v>
      </c>
      <c r="AC103" t="s">
        <v>260</v>
      </c>
      <c r="AD103" t="s">
        <v>775</v>
      </c>
      <c r="AE103">
        <v>2.8064249999999999E-2</v>
      </c>
      <c r="AF103">
        <f t="shared" si="33"/>
        <v>2.8000000000000001E-2</v>
      </c>
    </row>
    <row r="104" spans="1:32" x14ac:dyDescent="0.3">
      <c r="A104" t="s">
        <v>266</v>
      </c>
      <c r="B104" t="s">
        <v>566</v>
      </c>
      <c r="C104" t="s">
        <v>568</v>
      </c>
      <c r="D104" t="s">
        <v>567</v>
      </c>
      <c r="E104">
        <v>0</v>
      </c>
      <c r="F104" t="str">
        <f t="shared" si="28"/>
        <v>&lt;0.001</v>
      </c>
      <c r="J104" t="s">
        <v>261</v>
      </c>
      <c r="K104" t="s">
        <v>606</v>
      </c>
      <c r="L104" t="s">
        <v>263</v>
      </c>
      <c r="M104" t="s">
        <v>639</v>
      </c>
      <c r="N104">
        <v>0</v>
      </c>
      <c r="O104" t="str">
        <f t="shared" si="34"/>
        <v>&lt;0.001</v>
      </c>
      <c r="S104" t="s">
        <v>261</v>
      </c>
      <c r="T104" t="s">
        <v>705</v>
      </c>
      <c r="U104" t="s">
        <v>264</v>
      </c>
      <c r="V104" t="s">
        <v>706</v>
      </c>
      <c r="W104">
        <v>0</v>
      </c>
      <c r="X104" t="str">
        <f t="shared" si="32"/>
        <v>&lt;0.001</v>
      </c>
      <c r="AA104" t="s">
        <v>261</v>
      </c>
      <c r="AB104" t="s">
        <v>744</v>
      </c>
      <c r="AC104" t="s">
        <v>777</v>
      </c>
      <c r="AD104" t="s">
        <v>776</v>
      </c>
      <c r="AE104">
        <v>0</v>
      </c>
      <c r="AF104" t="str">
        <f t="shared" si="33"/>
        <v>&lt;0.001</v>
      </c>
    </row>
    <row r="105" spans="1:32" x14ac:dyDescent="0.3">
      <c r="A105" t="s">
        <v>271</v>
      </c>
      <c r="B105" t="s">
        <v>569</v>
      </c>
      <c r="C105" t="s">
        <v>571</v>
      </c>
      <c r="D105" t="s">
        <v>570</v>
      </c>
      <c r="E105">
        <v>0.30773440000000002</v>
      </c>
      <c r="F105">
        <f t="shared" si="28"/>
        <v>0.308</v>
      </c>
      <c r="J105" t="s">
        <v>266</v>
      </c>
      <c r="K105" t="s">
        <v>607</v>
      </c>
      <c r="L105" t="s">
        <v>268</v>
      </c>
      <c r="M105" t="s">
        <v>640</v>
      </c>
      <c r="N105">
        <v>0</v>
      </c>
      <c r="O105" t="str">
        <f t="shared" si="34"/>
        <v>&lt;0.001</v>
      </c>
      <c r="S105" t="s">
        <v>266</v>
      </c>
      <c r="T105" t="s">
        <v>707</v>
      </c>
      <c r="U105" t="s">
        <v>269</v>
      </c>
      <c r="V105" t="s">
        <v>708</v>
      </c>
      <c r="W105">
        <v>0.98280639999999997</v>
      </c>
      <c r="X105">
        <f t="shared" si="32"/>
        <v>0.98299999999999998</v>
      </c>
      <c r="AA105" t="s">
        <v>266</v>
      </c>
      <c r="AB105" t="s">
        <v>745</v>
      </c>
      <c r="AC105" t="s">
        <v>270</v>
      </c>
      <c r="AD105" t="s">
        <v>778</v>
      </c>
      <c r="AE105">
        <v>0.32779730000000001</v>
      </c>
      <c r="AF105">
        <f t="shared" si="33"/>
        <v>0.32800000000000001</v>
      </c>
    </row>
    <row r="106" spans="1:32" x14ac:dyDescent="0.3">
      <c r="J106" t="s">
        <v>271</v>
      </c>
      <c r="K106" t="s">
        <v>608</v>
      </c>
      <c r="L106" t="s">
        <v>273</v>
      </c>
      <c r="M106" t="s">
        <v>641</v>
      </c>
      <c r="N106">
        <v>0</v>
      </c>
      <c r="O106" t="str">
        <f t="shared" si="34"/>
        <v>&lt;0.001</v>
      </c>
      <c r="S106" t="s">
        <v>271</v>
      </c>
      <c r="T106" t="s">
        <v>709</v>
      </c>
      <c r="U106" t="s">
        <v>274</v>
      </c>
      <c r="V106" t="s">
        <v>710</v>
      </c>
      <c r="W106">
        <v>1.920993E-3</v>
      </c>
      <c r="X106">
        <f t="shared" si="32"/>
        <v>2E-3</v>
      </c>
      <c r="AA106" t="s">
        <v>271</v>
      </c>
      <c r="AB106" t="s">
        <v>746</v>
      </c>
      <c r="AC106" t="s">
        <v>275</v>
      </c>
      <c r="AD106" t="s">
        <v>779</v>
      </c>
      <c r="AE106">
        <v>2.7669640000000002E-4</v>
      </c>
      <c r="AF106" t="str">
        <f t="shared" si="33"/>
        <v>&lt;0.001</v>
      </c>
    </row>
    <row r="115" spans="1:6" x14ac:dyDescent="0.3">
      <c r="A115" t="s">
        <v>780</v>
      </c>
    </row>
    <row r="116" spans="1:6" x14ac:dyDescent="0.3">
      <c r="B116" t="s">
        <v>102</v>
      </c>
      <c r="C116" t="s">
        <v>572</v>
      </c>
      <c r="D116" t="s">
        <v>573</v>
      </c>
      <c r="E116" t="s">
        <v>8</v>
      </c>
      <c r="F116" t="s">
        <v>7</v>
      </c>
    </row>
    <row r="117" spans="1:6" x14ac:dyDescent="0.3">
      <c r="A117" t="s">
        <v>208</v>
      </c>
    </row>
    <row r="118" spans="1:6" x14ac:dyDescent="0.3">
      <c r="A118" t="s">
        <v>209</v>
      </c>
      <c r="B118" t="s">
        <v>781</v>
      </c>
      <c r="C118" t="s">
        <v>307</v>
      </c>
      <c r="D118" t="s">
        <v>787</v>
      </c>
      <c r="E118">
        <v>0</v>
      </c>
      <c r="F118" t="str">
        <f t="shared" ref="F118:F132" si="35">IF(E118&lt;0.001,"&lt;0.001",ROUND(E118,3))</f>
        <v>&lt;0.001</v>
      </c>
    </row>
    <row r="119" spans="1:6" x14ac:dyDescent="0.3">
      <c r="A119" t="s">
        <v>217</v>
      </c>
      <c r="B119" t="s">
        <v>782</v>
      </c>
      <c r="C119" t="s">
        <v>313</v>
      </c>
      <c r="D119" t="s">
        <v>788</v>
      </c>
      <c r="E119">
        <v>9.0792250000000005E-2</v>
      </c>
      <c r="F119">
        <f t="shared" si="35"/>
        <v>9.0999999999999998E-2</v>
      </c>
    </row>
    <row r="120" spans="1:6" x14ac:dyDescent="0.3">
      <c r="A120" t="s">
        <v>218</v>
      </c>
      <c r="B120" t="s">
        <v>783</v>
      </c>
      <c r="C120" t="s">
        <v>308</v>
      </c>
      <c r="D120" t="s">
        <v>789</v>
      </c>
      <c r="E120" s="1">
        <v>2.901796E-5</v>
      </c>
      <c r="F120" t="str">
        <f t="shared" si="35"/>
        <v>&lt;0.001</v>
      </c>
    </row>
    <row r="121" spans="1:6" x14ac:dyDescent="0.3">
      <c r="A121" t="s">
        <v>219</v>
      </c>
      <c r="B121" t="s">
        <v>784</v>
      </c>
      <c r="C121" t="s">
        <v>311</v>
      </c>
      <c r="D121" t="s">
        <v>790</v>
      </c>
      <c r="E121">
        <v>0.34856429999999999</v>
      </c>
      <c r="F121">
        <f t="shared" si="35"/>
        <v>0.34899999999999998</v>
      </c>
    </row>
    <row r="122" spans="1:6" x14ac:dyDescent="0.3">
      <c r="A122" t="s">
        <v>220</v>
      </c>
      <c r="B122" t="s">
        <v>785</v>
      </c>
      <c r="C122" t="s">
        <v>309</v>
      </c>
      <c r="D122" t="s">
        <v>791</v>
      </c>
      <c r="E122">
        <v>7.4744369999999996E-3</v>
      </c>
      <c r="F122">
        <f t="shared" si="35"/>
        <v>7.0000000000000001E-3</v>
      </c>
    </row>
    <row r="123" spans="1:6" x14ac:dyDescent="0.3">
      <c r="A123" t="s">
        <v>221</v>
      </c>
      <c r="B123" t="s">
        <v>798</v>
      </c>
      <c r="C123" t="s">
        <v>310</v>
      </c>
      <c r="D123" t="s">
        <v>799</v>
      </c>
      <c r="E123">
        <v>0</v>
      </c>
      <c r="F123" t="str">
        <f t="shared" si="35"/>
        <v>&lt;0.001</v>
      </c>
    </row>
    <row r="124" spans="1:6" x14ac:dyDescent="0.3">
      <c r="A124" t="s">
        <v>222</v>
      </c>
      <c r="B124" t="s">
        <v>786</v>
      </c>
      <c r="C124" t="s">
        <v>312</v>
      </c>
      <c r="D124" t="s">
        <v>792</v>
      </c>
      <c r="E124">
        <v>3.3815059999999999E-4</v>
      </c>
      <c r="F124" t="str">
        <f t="shared" si="35"/>
        <v>&lt;0.001</v>
      </c>
    </row>
    <row r="125" spans="1:6" x14ac:dyDescent="0.3">
      <c r="A125" t="s">
        <v>244</v>
      </c>
    </row>
    <row r="126" spans="1:6" x14ac:dyDescent="0.3">
      <c r="A126">
        <v>1</v>
      </c>
      <c r="B126" t="s">
        <v>793</v>
      </c>
      <c r="C126" t="s">
        <v>314</v>
      </c>
      <c r="D126" t="s">
        <v>795</v>
      </c>
      <c r="E126">
        <v>0</v>
      </c>
      <c r="F126" t="str">
        <f t="shared" si="35"/>
        <v>&lt;0.001</v>
      </c>
    </row>
    <row r="127" spans="1:6" x14ac:dyDescent="0.3">
      <c r="A127">
        <v>2</v>
      </c>
      <c r="B127" t="s">
        <v>794</v>
      </c>
      <c r="C127" t="s">
        <v>315</v>
      </c>
      <c r="D127" t="s">
        <v>796</v>
      </c>
      <c r="E127">
        <v>0</v>
      </c>
      <c r="F127" t="str">
        <f t="shared" si="35"/>
        <v>&lt;0.001</v>
      </c>
    </row>
    <row r="128" spans="1:6" x14ac:dyDescent="0.3">
      <c r="A128">
        <v>7</v>
      </c>
      <c r="B128" t="s">
        <v>800</v>
      </c>
      <c r="C128" t="s">
        <v>316</v>
      </c>
      <c r="D128" t="s">
        <v>797</v>
      </c>
      <c r="E128">
        <v>0</v>
      </c>
      <c r="F128" t="str">
        <f t="shared" si="35"/>
        <v>&lt;0.001</v>
      </c>
    </row>
    <row r="129" spans="1:6" x14ac:dyDescent="0.3">
      <c r="A129">
        <v>9</v>
      </c>
      <c r="B129" t="s">
        <v>801</v>
      </c>
      <c r="C129" t="s">
        <v>317</v>
      </c>
      <c r="D129" t="s">
        <v>802</v>
      </c>
      <c r="E129">
        <v>0</v>
      </c>
      <c r="F129" t="str">
        <f t="shared" si="35"/>
        <v>&lt;0.001</v>
      </c>
    </row>
    <row r="130" spans="1:6" x14ac:dyDescent="0.3">
      <c r="A130" t="s">
        <v>261</v>
      </c>
      <c r="B130" t="s">
        <v>803</v>
      </c>
      <c r="C130" t="s">
        <v>318</v>
      </c>
      <c r="D130" t="s">
        <v>804</v>
      </c>
      <c r="E130">
        <v>0</v>
      </c>
      <c r="F130" t="str">
        <f t="shared" si="35"/>
        <v>&lt;0.001</v>
      </c>
    </row>
    <row r="131" spans="1:6" x14ac:dyDescent="0.3">
      <c r="A131" t="s">
        <v>266</v>
      </c>
      <c r="B131" t="s">
        <v>805</v>
      </c>
      <c r="C131" t="s">
        <v>320</v>
      </c>
      <c r="D131" t="s">
        <v>806</v>
      </c>
      <c r="E131">
        <v>0</v>
      </c>
      <c r="F131" t="str">
        <f t="shared" si="35"/>
        <v>&lt;0.001</v>
      </c>
    </row>
    <row r="132" spans="1:6" x14ac:dyDescent="0.3">
      <c r="A132" t="s">
        <v>271</v>
      </c>
      <c r="B132" t="s">
        <v>807</v>
      </c>
      <c r="C132" t="s">
        <v>808</v>
      </c>
      <c r="D132" t="s">
        <v>809</v>
      </c>
      <c r="E132">
        <v>0</v>
      </c>
      <c r="F132" t="str">
        <f t="shared" si="35"/>
        <v>&lt;0.001</v>
      </c>
    </row>
    <row r="138" spans="1:6" x14ac:dyDescent="0.3">
      <c r="A138" s="3"/>
    </row>
    <row r="139" spans="1:6" x14ac:dyDescent="0.3">
      <c r="A139" s="3"/>
    </row>
    <row r="140" spans="1:6" x14ac:dyDescent="0.3">
      <c r="A14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3"/>
  <sheetViews>
    <sheetView tabSelected="1" topLeftCell="Q1" workbookViewId="0">
      <selection activeCell="S5" sqref="S5"/>
    </sheetView>
  </sheetViews>
  <sheetFormatPr defaultRowHeight="16.5" x14ac:dyDescent="0.3"/>
  <cols>
    <col min="1" max="1" width="36.25" bestFit="1" customWidth="1"/>
    <col min="2" max="4" width="10.5" bestFit="1" customWidth="1"/>
    <col min="5" max="5" width="9.25" bestFit="1" customWidth="1"/>
    <col min="6" max="6" width="14" bestFit="1" customWidth="1"/>
    <col min="7" max="7" width="12.125" bestFit="1" customWidth="1"/>
    <col min="10" max="10" width="36.25" bestFit="1" customWidth="1"/>
    <col min="11" max="13" width="10.5" bestFit="1" customWidth="1"/>
    <col min="14" max="14" width="9.625" bestFit="1" customWidth="1"/>
    <col min="15" max="15" width="14" bestFit="1" customWidth="1"/>
    <col min="19" max="19" width="39" bestFit="1" customWidth="1"/>
    <col min="20" max="22" width="10.5" bestFit="1" customWidth="1"/>
    <col min="23" max="23" width="9.625" bestFit="1" customWidth="1"/>
    <col min="24" max="24" width="12.875" bestFit="1" customWidth="1"/>
  </cols>
  <sheetData>
    <row r="1" spans="1:25" x14ac:dyDescent="0.3">
      <c r="A1" t="s">
        <v>0</v>
      </c>
      <c r="J1" t="s">
        <v>34</v>
      </c>
      <c r="S1" t="s">
        <v>36</v>
      </c>
    </row>
    <row r="2" spans="1:25" x14ac:dyDescent="0.3">
      <c r="B2" t="s">
        <v>3</v>
      </c>
      <c r="C2" t="s">
        <v>4</v>
      </c>
      <c r="D2" t="s">
        <v>5</v>
      </c>
      <c r="E2" t="s">
        <v>8</v>
      </c>
      <c r="F2" t="s">
        <v>6</v>
      </c>
      <c r="G2" t="s">
        <v>7</v>
      </c>
      <c r="K2" t="s">
        <v>3</v>
      </c>
      <c r="L2" t="s">
        <v>4</v>
      </c>
      <c r="M2" t="s">
        <v>5</v>
      </c>
      <c r="N2" t="s">
        <v>8</v>
      </c>
      <c r="O2" t="s">
        <v>6</v>
      </c>
      <c r="P2" t="s">
        <v>7</v>
      </c>
      <c r="T2" t="s">
        <v>3</v>
      </c>
      <c r="U2" t="s">
        <v>4</v>
      </c>
      <c r="V2" t="s">
        <v>5</v>
      </c>
      <c r="W2" t="s">
        <v>8</v>
      </c>
      <c r="X2" t="s">
        <v>6</v>
      </c>
      <c r="Y2" t="s">
        <v>7</v>
      </c>
    </row>
    <row r="3" spans="1:25" x14ac:dyDescent="0.3">
      <c r="A3" t="s">
        <v>1</v>
      </c>
      <c r="B3">
        <v>0.86667830000000001</v>
      </c>
      <c r="C3">
        <v>0.84540919999999997</v>
      </c>
      <c r="D3">
        <v>0.88848249999999995</v>
      </c>
      <c r="E3" s="1">
        <v>1.523409E-29</v>
      </c>
      <c r="F3" t="str">
        <f>ROUND(B3,2)&amp;"("&amp;ROUND(C3,2)&amp;"-"&amp;ROUND(D3,2)&amp;")"</f>
        <v>0.87(0.85-0.89)</v>
      </c>
      <c r="G3" t="str">
        <f>IF(E3&lt;0.001,"&lt;0.001",ROUND(E3,3))</f>
        <v>&lt;0.001</v>
      </c>
      <c r="J3" t="s">
        <v>1</v>
      </c>
      <c r="K3">
        <v>0.87031950000000002</v>
      </c>
      <c r="L3">
        <v>0.84809820000000002</v>
      </c>
      <c r="M3">
        <v>0.89312309999999995</v>
      </c>
      <c r="N3" s="1">
        <v>6.598875E-26</v>
      </c>
      <c r="O3" t="str">
        <f>ROUND(K3,2)&amp;"("&amp;ROUND(L3,2)&amp;"-"&amp;ROUND(M3,2)&amp;")"</f>
        <v>0.87(0.85-0.89)</v>
      </c>
      <c r="P3" t="str">
        <f>IF(N3&lt;0.001,"&lt;0.001",ROUND(N3,3))</f>
        <v>&lt;0.001</v>
      </c>
      <c r="S3" t="s">
        <v>1</v>
      </c>
      <c r="T3">
        <v>0.8767026</v>
      </c>
      <c r="U3">
        <v>0.85399979999999998</v>
      </c>
      <c r="V3">
        <v>0.9000089</v>
      </c>
      <c r="W3" s="1">
        <v>0</v>
      </c>
      <c r="X3" t="str">
        <f>ROUND(T3,2)&amp;"("&amp;ROUND(U3,2)&amp;"-"&amp;ROUND(V3,2)&amp;")"</f>
        <v>0.88(0.85-0.9)</v>
      </c>
      <c r="Y3" t="str">
        <f>IF(W3&lt;0.001,"&lt;0.001",ROUND(W3,3))</f>
        <v>&lt;0.001</v>
      </c>
    </row>
    <row r="4" spans="1:25" x14ac:dyDescent="0.3">
      <c r="A4" t="s">
        <v>2</v>
      </c>
      <c r="B4">
        <v>0.57544859999999998</v>
      </c>
      <c r="C4">
        <v>0.56423920000000005</v>
      </c>
      <c r="D4">
        <v>0.58688079999999998</v>
      </c>
      <c r="E4" s="1">
        <v>0</v>
      </c>
      <c r="F4" t="str">
        <f t="shared" ref="F4:F27" si="0">ROUND(B4,2)&amp;"("&amp;ROUND(C4,2)&amp;"-"&amp;ROUND(D4,2)&amp;")"</f>
        <v>0.58(0.56-0.59)</v>
      </c>
      <c r="G4" t="str">
        <f t="shared" ref="G4:G27" si="1">IF(E4&lt;0.001,"&lt;0.001",ROUND(E4,3))</f>
        <v>&lt;0.001</v>
      </c>
      <c r="J4" t="s">
        <v>2</v>
      </c>
      <c r="K4">
        <v>0.57659139999999998</v>
      </c>
      <c r="L4">
        <v>0.56488099999999997</v>
      </c>
      <c r="M4">
        <v>0.58854459999999997</v>
      </c>
      <c r="N4" s="1">
        <v>0</v>
      </c>
      <c r="O4" t="str">
        <f t="shared" ref="O4:O27" si="2">ROUND(K4,2)&amp;"("&amp;ROUND(L4,2)&amp;"-"&amp;ROUND(M4,2)&amp;")"</f>
        <v>0.58(0.56-0.59)</v>
      </c>
      <c r="P4" t="str">
        <f t="shared" ref="P4:P27" si="3">IF(N4&lt;0.001,"&lt;0.001",ROUND(N4,3))</f>
        <v>&lt;0.001</v>
      </c>
      <c r="S4" t="s">
        <v>2</v>
      </c>
      <c r="T4">
        <v>0.5898563</v>
      </c>
      <c r="U4">
        <v>0.57793249999999996</v>
      </c>
      <c r="V4">
        <v>0.60202619999999996</v>
      </c>
      <c r="W4" s="1">
        <v>0</v>
      </c>
      <c r="X4" t="str">
        <f t="shared" ref="X4:X27" si="4">ROUND(T4,2)&amp;"("&amp;ROUND(U4,2)&amp;"-"&amp;ROUND(V4,2)&amp;")"</f>
        <v>0.59(0.58-0.6)</v>
      </c>
      <c r="Y4" t="str">
        <f t="shared" ref="Y4:Y27" si="5">IF(W4&lt;0.001,"&lt;0.001",ROUND(W4,3))</f>
        <v>&lt;0.001</v>
      </c>
    </row>
    <row r="5" spans="1:25" x14ac:dyDescent="0.3">
      <c r="A5" t="s">
        <v>2</v>
      </c>
      <c r="B5">
        <v>0.66397030000000001</v>
      </c>
      <c r="C5">
        <v>0.64699720000000005</v>
      </c>
      <c r="D5">
        <v>0.68138849999999995</v>
      </c>
      <c r="E5" s="1">
        <v>6.1856029999999997E-211</v>
      </c>
      <c r="F5" t="str">
        <f t="shared" si="0"/>
        <v>0.66(0.65-0.68)</v>
      </c>
      <c r="G5" t="str">
        <f t="shared" si="1"/>
        <v>&lt;0.001</v>
      </c>
      <c r="J5" t="s">
        <v>2</v>
      </c>
      <c r="K5">
        <v>0.66250540000000002</v>
      </c>
      <c r="L5">
        <v>0.64487209999999995</v>
      </c>
      <c r="M5">
        <v>0.68062089999999997</v>
      </c>
      <c r="N5" s="1">
        <v>1.311021E-196</v>
      </c>
      <c r="O5" t="str">
        <f t="shared" si="2"/>
        <v>0.66(0.64-0.68)</v>
      </c>
      <c r="P5" t="str">
        <f t="shared" si="3"/>
        <v>&lt;0.001</v>
      </c>
      <c r="S5" t="s">
        <v>2</v>
      </c>
      <c r="T5">
        <v>0.67281230000000003</v>
      </c>
      <c r="U5">
        <v>0.65480760000000005</v>
      </c>
      <c r="V5">
        <v>0.69131209999999998</v>
      </c>
      <c r="W5" s="1">
        <v>0</v>
      </c>
      <c r="X5" t="str">
        <f t="shared" si="4"/>
        <v>0.67(0.65-0.69)</v>
      </c>
      <c r="Y5" t="str">
        <f t="shared" si="5"/>
        <v>&lt;0.001</v>
      </c>
    </row>
    <row r="6" spans="1:25" x14ac:dyDescent="0.3">
      <c r="A6" t="s">
        <v>9</v>
      </c>
      <c r="B6">
        <v>1.0488580000000001</v>
      </c>
      <c r="C6">
        <v>1.047588</v>
      </c>
      <c r="D6">
        <v>1.0501290000000001</v>
      </c>
      <c r="E6">
        <v>0</v>
      </c>
      <c r="F6" t="str">
        <f t="shared" si="0"/>
        <v>1.05(1.05-1.05)</v>
      </c>
      <c r="G6" t="str">
        <f t="shared" si="1"/>
        <v>&lt;0.001</v>
      </c>
      <c r="J6" t="s">
        <v>9</v>
      </c>
      <c r="K6">
        <v>1.046392</v>
      </c>
      <c r="L6">
        <v>1.0450759999999999</v>
      </c>
      <c r="M6">
        <v>1.047709</v>
      </c>
      <c r="N6">
        <v>0</v>
      </c>
      <c r="O6" t="str">
        <f t="shared" si="2"/>
        <v>1.05(1.05-1.05)</v>
      </c>
      <c r="P6" t="str">
        <f t="shared" si="3"/>
        <v>&lt;0.001</v>
      </c>
      <c r="S6" t="s">
        <v>9</v>
      </c>
      <c r="T6">
        <v>1.043231</v>
      </c>
      <c r="U6">
        <v>1.041917</v>
      </c>
      <c r="V6">
        <v>1.044546</v>
      </c>
      <c r="W6">
        <v>0</v>
      </c>
      <c r="X6" t="str">
        <f t="shared" si="4"/>
        <v>1.04(1.04-1.04)</v>
      </c>
      <c r="Y6" t="str">
        <f t="shared" si="5"/>
        <v>&lt;0.001</v>
      </c>
    </row>
    <row r="7" spans="1:25" x14ac:dyDescent="0.3">
      <c r="A7" t="s">
        <v>10</v>
      </c>
      <c r="B7">
        <v>2.102929</v>
      </c>
      <c r="C7">
        <v>2.0574949999999999</v>
      </c>
      <c r="D7">
        <v>2.1493660000000001</v>
      </c>
      <c r="E7">
        <v>0</v>
      </c>
      <c r="F7" t="str">
        <f t="shared" si="0"/>
        <v>2.1(2.06-2.15)</v>
      </c>
      <c r="G7" t="str">
        <f t="shared" si="1"/>
        <v>&lt;0.001</v>
      </c>
      <c r="J7" t="s">
        <v>10</v>
      </c>
      <c r="K7">
        <v>2.0677989999999999</v>
      </c>
      <c r="L7">
        <v>2.0213770000000002</v>
      </c>
      <c r="M7">
        <v>2.1152869999999999</v>
      </c>
      <c r="N7">
        <v>0</v>
      </c>
      <c r="O7" t="str">
        <f t="shared" si="2"/>
        <v>2.07(2.02-2.12)</v>
      </c>
      <c r="P7" t="str">
        <f t="shared" si="3"/>
        <v>&lt;0.001</v>
      </c>
      <c r="S7" t="s">
        <v>10</v>
      </c>
      <c r="T7">
        <v>1.9998579999999999</v>
      </c>
      <c r="U7">
        <v>1.9560569999999999</v>
      </c>
      <c r="V7">
        <v>2.0446399999999998</v>
      </c>
      <c r="W7">
        <v>0</v>
      </c>
      <c r="X7" t="str">
        <f t="shared" si="4"/>
        <v>2(1.96-2.04)</v>
      </c>
      <c r="Y7" t="str">
        <f t="shared" si="5"/>
        <v>&lt;0.001</v>
      </c>
    </row>
    <row r="8" spans="1:25" x14ac:dyDescent="0.3">
      <c r="A8" t="s">
        <v>11</v>
      </c>
      <c r="B8">
        <v>1.470037</v>
      </c>
      <c r="C8">
        <v>1.437832</v>
      </c>
      <c r="D8">
        <v>1.5029619999999999</v>
      </c>
      <c r="E8" s="1">
        <v>9.8513679999999995E-255</v>
      </c>
      <c r="F8" t="str">
        <f t="shared" si="0"/>
        <v>1.47(1.44-1.5)</v>
      </c>
      <c r="G8" t="str">
        <f t="shared" si="1"/>
        <v>&lt;0.001</v>
      </c>
      <c r="J8" t="s">
        <v>11</v>
      </c>
      <c r="K8">
        <v>1.4613130000000001</v>
      </c>
      <c r="L8">
        <v>1.4278919999999999</v>
      </c>
      <c r="M8">
        <v>1.4955160000000001</v>
      </c>
      <c r="N8" s="1">
        <v>1.4014240000000001E-226</v>
      </c>
      <c r="O8" t="str">
        <f t="shared" si="2"/>
        <v>1.46(1.43-1.5)</v>
      </c>
      <c r="P8" t="str">
        <f t="shared" si="3"/>
        <v>&lt;0.001</v>
      </c>
      <c r="S8" t="s">
        <v>11</v>
      </c>
      <c r="T8">
        <v>1.4390179999999999</v>
      </c>
      <c r="U8">
        <v>1.4061939999999999</v>
      </c>
      <c r="V8">
        <v>1.472607</v>
      </c>
      <c r="W8" s="1">
        <v>0</v>
      </c>
      <c r="X8" t="str">
        <f t="shared" si="4"/>
        <v>1.44(1.41-1.47)</v>
      </c>
      <c r="Y8" t="str">
        <f t="shared" si="5"/>
        <v>&lt;0.001</v>
      </c>
    </row>
    <row r="9" spans="1:25" x14ac:dyDescent="0.3">
      <c r="A9" t="s">
        <v>12</v>
      </c>
      <c r="B9">
        <v>1.8754230000000001</v>
      </c>
      <c r="C9">
        <v>1.836427</v>
      </c>
      <c r="D9">
        <v>1.9152469999999999</v>
      </c>
      <c r="E9" s="1">
        <v>0</v>
      </c>
      <c r="F9" t="str">
        <f t="shared" si="0"/>
        <v>1.88(1.84-1.92)</v>
      </c>
      <c r="G9" t="str">
        <f t="shared" si="1"/>
        <v>&lt;0.001</v>
      </c>
      <c r="J9" t="s">
        <v>12</v>
      </c>
      <c r="K9">
        <v>1.8812899999999999</v>
      </c>
      <c r="L9">
        <v>1.84057</v>
      </c>
      <c r="M9">
        <v>1.922911</v>
      </c>
      <c r="N9" s="1">
        <v>0</v>
      </c>
      <c r="O9" t="str">
        <f t="shared" si="2"/>
        <v>1.88(1.84-1.92)</v>
      </c>
      <c r="P9" t="str">
        <f t="shared" si="3"/>
        <v>&lt;0.001</v>
      </c>
      <c r="S9" t="s">
        <v>12</v>
      </c>
      <c r="T9">
        <v>1.8328850000000001</v>
      </c>
      <c r="U9">
        <v>1.793218</v>
      </c>
      <c r="V9">
        <v>1.8734299999999999</v>
      </c>
      <c r="W9" s="1">
        <v>0</v>
      </c>
      <c r="X9" t="str">
        <f t="shared" si="4"/>
        <v>1.83(1.79-1.87)</v>
      </c>
      <c r="Y9" t="str">
        <f t="shared" si="5"/>
        <v>&lt;0.001</v>
      </c>
    </row>
    <row r="10" spans="1:25" x14ac:dyDescent="0.3">
      <c r="A10" t="s">
        <v>13</v>
      </c>
      <c r="B10">
        <v>1.0086919999999999</v>
      </c>
      <c r="C10">
        <v>1.0083530000000001</v>
      </c>
      <c r="D10">
        <v>1.009031</v>
      </c>
      <c r="E10">
        <v>0</v>
      </c>
      <c r="F10" t="str">
        <f t="shared" si="0"/>
        <v>1.01(1.01-1.01)</v>
      </c>
      <c r="G10" t="str">
        <f t="shared" si="1"/>
        <v>&lt;0.001</v>
      </c>
      <c r="J10" t="s">
        <v>13</v>
      </c>
      <c r="K10">
        <v>1.008623</v>
      </c>
      <c r="L10">
        <v>1.0082690000000001</v>
      </c>
      <c r="M10">
        <v>1.008977</v>
      </c>
      <c r="N10">
        <v>0</v>
      </c>
      <c r="O10" t="str">
        <f t="shared" si="2"/>
        <v>1.01(1.01-1.01)</v>
      </c>
      <c r="P10" t="str">
        <f t="shared" si="3"/>
        <v>&lt;0.001</v>
      </c>
      <c r="S10" t="s">
        <v>13</v>
      </c>
      <c r="T10">
        <v>1.0082789999999999</v>
      </c>
      <c r="U10">
        <v>1.0078560000000001</v>
      </c>
      <c r="V10">
        <v>1.0087029999999999</v>
      </c>
      <c r="W10">
        <v>0</v>
      </c>
      <c r="X10" t="str">
        <f t="shared" si="4"/>
        <v>1.01(1.01-1.01)</v>
      </c>
      <c r="Y10" t="str">
        <f t="shared" si="5"/>
        <v>&lt;0.001</v>
      </c>
    </row>
    <row r="11" spans="1:25" x14ac:dyDescent="0.3">
      <c r="A11" t="s">
        <v>14</v>
      </c>
      <c r="B11">
        <v>0.95059009999999999</v>
      </c>
      <c r="C11">
        <v>0.94731810000000005</v>
      </c>
      <c r="D11">
        <v>0.95387339999999998</v>
      </c>
      <c r="E11" s="1">
        <v>1.927283E-182</v>
      </c>
      <c r="F11" t="str">
        <f t="shared" si="0"/>
        <v>0.95(0.95-0.95)</v>
      </c>
      <c r="G11" t="str">
        <f t="shared" si="1"/>
        <v>&lt;0.001</v>
      </c>
      <c r="J11" t="s">
        <v>14</v>
      </c>
      <c r="K11">
        <v>0.95117450000000003</v>
      </c>
      <c r="L11">
        <v>0.94776419999999995</v>
      </c>
      <c r="M11">
        <v>0.95459709999999998</v>
      </c>
      <c r="N11" s="1">
        <v>2.8024030000000001E-164</v>
      </c>
      <c r="O11" t="str">
        <f t="shared" si="2"/>
        <v>0.95(0.95-0.95)</v>
      </c>
      <c r="P11" t="str">
        <f t="shared" si="3"/>
        <v>&lt;0.001</v>
      </c>
      <c r="S11" t="s">
        <v>14</v>
      </c>
      <c r="T11">
        <v>0.95396360000000002</v>
      </c>
      <c r="U11">
        <v>0.95052360000000002</v>
      </c>
      <c r="V11">
        <v>0.95741609999999999</v>
      </c>
      <c r="W11" s="1">
        <v>0</v>
      </c>
      <c r="X11" t="str">
        <f t="shared" si="4"/>
        <v>0.95(0.95-0.96)</v>
      </c>
      <c r="Y11" t="str">
        <f t="shared" si="5"/>
        <v>&lt;0.001</v>
      </c>
    </row>
    <row r="12" spans="1:25" x14ac:dyDescent="0.3">
      <c r="A12" t="s">
        <v>15</v>
      </c>
      <c r="B12">
        <v>0.969804</v>
      </c>
      <c r="C12">
        <v>0.93983269999999997</v>
      </c>
      <c r="D12">
        <v>1.0007311000000001</v>
      </c>
      <c r="E12" s="1">
        <v>5.5577069999999999E-2</v>
      </c>
      <c r="F12" t="str">
        <f t="shared" si="0"/>
        <v>0.97(0.94-1)</v>
      </c>
      <c r="G12">
        <f t="shared" si="1"/>
        <v>5.6000000000000001E-2</v>
      </c>
      <c r="J12" t="s">
        <v>15</v>
      </c>
      <c r="K12">
        <v>0.97196959999999999</v>
      </c>
      <c r="L12">
        <v>0.94073910000000005</v>
      </c>
      <c r="M12">
        <v>1.0042367999999999</v>
      </c>
      <c r="N12" s="1">
        <v>8.7964299999999995E-2</v>
      </c>
      <c r="O12" t="str">
        <f t="shared" si="2"/>
        <v>0.97(0.94-1)</v>
      </c>
      <c r="P12">
        <f t="shared" si="3"/>
        <v>8.7999999999999995E-2</v>
      </c>
      <c r="S12" t="s">
        <v>15</v>
      </c>
      <c r="T12">
        <v>0.97697040000000002</v>
      </c>
      <c r="U12">
        <v>0.94563640000000004</v>
      </c>
      <c r="V12">
        <v>1.0093426000000001</v>
      </c>
      <c r="W12" s="1">
        <v>0.16125210000000001</v>
      </c>
      <c r="X12" t="str">
        <f t="shared" si="4"/>
        <v>0.98(0.95-1.01)</v>
      </c>
      <c r="Y12">
        <f t="shared" si="5"/>
        <v>0.161</v>
      </c>
    </row>
    <row r="13" spans="1:25" x14ac:dyDescent="0.3">
      <c r="A13" t="s">
        <v>16</v>
      </c>
      <c r="B13">
        <v>0.980182</v>
      </c>
      <c r="C13">
        <v>0.95134719999999995</v>
      </c>
      <c r="D13">
        <v>1.0098906999999999</v>
      </c>
      <c r="E13" s="1">
        <v>0.18887139999999999</v>
      </c>
      <c r="F13" t="str">
        <f t="shared" si="0"/>
        <v>0.98(0.95-1.01)</v>
      </c>
      <c r="G13">
        <f t="shared" si="1"/>
        <v>0.189</v>
      </c>
      <c r="J13" t="s">
        <v>16</v>
      </c>
      <c r="K13">
        <v>0.98345669999999996</v>
      </c>
      <c r="L13">
        <v>0.95337870000000002</v>
      </c>
      <c r="M13">
        <v>1.0144837</v>
      </c>
      <c r="N13" s="1">
        <v>0.29252220000000001</v>
      </c>
      <c r="O13" t="str">
        <f t="shared" si="2"/>
        <v>0.98(0.95-1.01)</v>
      </c>
      <c r="P13">
        <f t="shared" si="3"/>
        <v>0.29299999999999998</v>
      </c>
      <c r="S13" t="s">
        <v>16</v>
      </c>
      <c r="T13">
        <v>0.98870170000000002</v>
      </c>
      <c r="U13">
        <v>0.95846710000000002</v>
      </c>
      <c r="V13">
        <v>1.0198901</v>
      </c>
      <c r="W13" s="1">
        <v>0.47332540000000001</v>
      </c>
      <c r="X13" t="str">
        <f t="shared" si="4"/>
        <v>0.99(0.96-1.02)</v>
      </c>
      <c r="Y13">
        <f t="shared" si="5"/>
        <v>0.47299999999999998</v>
      </c>
    </row>
    <row r="14" spans="1:25" x14ac:dyDescent="0.3">
      <c r="A14" t="s">
        <v>17</v>
      </c>
      <c r="B14">
        <v>0.93845290000000003</v>
      </c>
      <c r="C14">
        <v>0.91300990000000004</v>
      </c>
      <c r="D14">
        <v>0.96460500000000005</v>
      </c>
      <c r="E14" s="1">
        <v>5.9080220000000002E-6</v>
      </c>
      <c r="F14" t="str">
        <f t="shared" si="0"/>
        <v>0.94(0.91-0.96)</v>
      </c>
      <c r="G14" t="str">
        <f t="shared" si="1"/>
        <v>&lt;0.001</v>
      </c>
      <c r="J14" t="s">
        <v>17</v>
      </c>
      <c r="K14">
        <v>0.93442890000000001</v>
      </c>
      <c r="L14">
        <v>0.90803389999999995</v>
      </c>
      <c r="M14">
        <v>0.96159110000000003</v>
      </c>
      <c r="N14" s="1">
        <v>3.501513E-6</v>
      </c>
      <c r="O14" t="str">
        <f t="shared" si="2"/>
        <v>0.93(0.91-0.96)</v>
      </c>
      <c r="P14" t="str">
        <f t="shared" si="3"/>
        <v>&lt;0.001</v>
      </c>
      <c r="S14" t="s">
        <v>17</v>
      </c>
      <c r="T14">
        <v>0.93609580000000003</v>
      </c>
      <c r="U14">
        <v>0.90964279999999997</v>
      </c>
      <c r="V14">
        <v>0.96331809999999995</v>
      </c>
      <c r="W14" s="1">
        <v>6.3244540000000002E-6</v>
      </c>
      <c r="X14" t="str">
        <f t="shared" si="4"/>
        <v>0.94(0.91-0.96)</v>
      </c>
      <c r="Y14" t="str">
        <f t="shared" si="5"/>
        <v>&lt;0.001</v>
      </c>
    </row>
    <row r="15" spans="1:25" x14ac:dyDescent="0.3">
      <c r="A15" t="s">
        <v>18</v>
      </c>
      <c r="B15">
        <v>0.88250070000000003</v>
      </c>
      <c r="C15">
        <v>0.86024959999999995</v>
      </c>
      <c r="D15">
        <v>0.90532729999999995</v>
      </c>
      <c r="E15" s="1">
        <v>8.5205419999999991E-22</v>
      </c>
      <c r="F15" t="str">
        <f t="shared" si="0"/>
        <v>0.88(0.86-0.91)</v>
      </c>
      <c r="G15" t="str">
        <f t="shared" si="1"/>
        <v>&lt;0.001</v>
      </c>
      <c r="J15" t="s">
        <v>18</v>
      </c>
      <c r="K15">
        <v>0.8777334</v>
      </c>
      <c r="L15">
        <v>0.85467309999999996</v>
      </c>
      <c r="M15">
        <v>0.901416</v>
      </c>
      <c r="N15" s="1">
        <v>7.9539140000000003E-22</v>
      </c>
      <c r="O15" t="str">
        <f t="shared" si="2"/>
        <v>0.88(0.85-0.9)</v>
      </c>
      <c r="P15" t="str">
        <f t="shared" si="3"/>
        <v>&lt;0.001</v>
      </c>
      <c r="S15" t="s">
        <v>18</v>
      </c>
      <c r="T15">
        <v>0.88388610000000001</v>
      </c>
      <c r="U15">
        <v>0.86060170000000002</v>
      </c>
      <c r="V15">
        <v>0.90780039999999995</v>
      </c>
      <c r="W15" s="1">
        <v>0</v>
      </c>
      <c r="X15" t="str">
        <f t="shared" si="4"/>
        <v>0.88(0.86-0.91)</v>
      </c>
      <c r="Y15" t="str">
        <f t="shared" si="5"/>
        <v>&lt;0.001</v>
      </c>
    </row>
    <row r="16" spans="1:25" x14ac:dyDescent="0.3">
      <c r="A16" t="s">
        <v>19</v>
      </c>
      <c r="B16">
        <v>1.2339070000000001</v>
      </c>
      <c r="C16">
        <v>1.204081</v>
      </c>
      <c r="D16">
        <v>1.264473</v>
      </c>
      <c r="E16" s="1">
        <v>1.3409160000000001E-63</v>
      </c>
      <c r="F16" t="str">
        <f t="shared" si="0"/>
        <v>1.23(1.2-1.26)</v>
      </c>
      <c r="G16" t="str">
        <f t="shared" si="1"/>
        <v>&lt;0.001</v>
      </c>
      <c r="J16" t="s">
        <v>19</v>
      </c>
      <c r="K16">
        <v>1.22157</v>
      </c>
      <c r="L16">
        <v>1.190941</v>
      </c>
      <c r="M16">
        <v>1.2529870000000001</v>
      </c>
      <c r="N16" s="1">
        <v>7.8341859999999995E-54</v>
      </c>
      <c r="O16" t="str">
        <f t="shared" si="2"/>
        <v>1.22(1.19-1.25)</v>
      </c>
      <c r="P16" t="str">
        <f t="shared" si="3"/>
        <v>&lt;0.001</v>
      </c>
      <c r="S16" t="s">
        <v>19</v>
      </c>
      <c r="T16">
        <v>1.2081930000000001</v>
      </c>
      <c r="U16">
        <v>1.1785810000000001</v>
      </c>
      <c r="V16">
        <v>1.23855</v>
      </c>
      <c r="W16" s="1">
        <v>0</v>
      </c>
      <c r="X16" t="str">
        <f t="shared" si="4"/>
        <v>1.21(1.18-1.24)</v>
      </c>
      <c r="Y16" t="str">
        <f t="shared" si="5"/>
        <v>&lt;0.001</v>
      </c>
    </row>
    <row r="17" spans="1:31" x14ac:dyDescent="0.3">
      <c r="A17" t="s">
        <v>20</v>
      </c>
      <c r="B17">
        <v>1.544694</v>
      </c>
      <c r="C17">
        <v>1.493798</v>
      </c>
      <c r="D17">
        <v>1.597323</v>
      </c>
      <c r="E17" s="1">
        <v>9.7358579999999996E-143</v>
      </c>
      <c r="F17" t="str">
        <f t="shared" si="0"/>
        <v>1.54(1.49-1.6)</v>
      </c>
      <c r="G17" t="str">
        <f t="shared" si="1"/>
        <v>&lt;0.001</v>
      </c>
      <c r="J17" t="s">
        <v>20</v>
      </c>
      <c r="K17">
        <v>1.471749</v>
      </c>
      <c r="L17">
        <v>1.4208689999999999</v>
      </c>
      <c r="M17">
        <v>1.5244500000000001</v>
      </c>
      <c r="N17" s="1">
        <v>8.4339240000000001E-103</v>
      </c>
      <c r="O17" t="str">
        <f t="shared" si="2"/>
        <v>1.47(1.42-1.52)</v>
      </c>
      <c r="P17" t="str">
        <f t="shared" si="3"/>
        <v>&lt;0.001</v>
      </c>
      <c r="S17" t="s">
        <v>20</v>
      </c>
      <c r="T17">
        <v>1.420167</v>
      </c>
      <c r="U17">
        <v>1.3708720000000001</v>
      </c>
      <c r="V17">
        <v>1.4712339999999999</v>
      </c>
      <c r="W17" s="1">
        <v>0</v>
      </c>
      <c r="X17" t="str">
        <f t="shared" si="4"/>
        <v>1.42(1.37-1.47)</v>
      </c>
      <c r="Y17" t="str">
        <f t="shared" si="5"/>
        <v>&lt;0.001</v>
      </c>
      <c r="AD17" s="1"/>
      <c r="AE17" s="1"/>
    </row>
    <row r="18" spans="1:31" x14ac:dyDescent="0.3">
      <c r="A18" t="s">
        <v>21</v>
      </c>
      <c r="B18">
        <v>2.230756</v>
      </c>
      <c r="C18">
        <v>2.1655000000000002</v>
      </c>
      <c r="D18">
        <v>2.2979780000000001</v>
      </c>
      <c r="E18" s="1">
        <v>0</v>
      </c>
      <c r="F18" t="str">
        <f t="shared" si="0"/>
        <v>2.23(2.17-2.3)</v>
      </c>
      <c r="G18" t="str">
        <f t="shared" si="1"/>
        <v>&lt;0.001</v>
      </c>
      <c r="J18" t="s">
        <v>21</v>
      </c>
      <c r="K18">
        <v>2.1851159999999998</v>
      </c>
      <c r="L18">
        <v>2.1187149999999999</v>
      </c>
      <c r="M18">
        <v>2.2535989999999999</v>
      </c>
      <c r="N18" s="1">
        <v>0</v>
      </c>
      <c r="O18" t="str">
        <f t="shared" si="2"/>
        <v>2.19(2.12-2.25)</v>
      </c>
      <c r="P18" t="str">
        <f t="shared" si="3"/>
        <v>&lt;0.001</v>
      </c>
      <c r="S18" t="s">
        <v>21</v>
      </c>
      <c r="T18">
        <v>2.0693790000000001</v>
      </c>
      <c r="U18">
        <v>2.0055010000000002</v>
      </c>
      <c r="V18">
        <v>2.1352920000000002</v>
      </c>
      <c r="W18" s="1">
        <v>0</v>
      </c>
      <c r="X18" t="str">
        <f t="shared" si="4"/>
        <v>2.07(2.01-2.14)</v>
      </c>
      <c r="Y18" t="str">
        <f t="shared" si="5"/>
        <v>&lt;0.001</v>
      </c>
      <c r="AD18" s="1"/>
      <c r="AE18" s="1"/>
    </row>
    <row r="19" spans="1:31" x14ac:dyDescent="0.3">
      <c r="A19" t="s">
        <v>22</v>
      </c>
      <c r="B19">
        <v>0.83723460000000005</v>
      </c>
      <c r="C19">
        <v>0.81945369999999995</v>
      </c>
      <c r="D19">
        <v>0.85540139999999998</v>
      </c>
      <c r="E19" s="1">
        <v>3.633429E-59</v>
      </c>
      <c r="F19" t="str">
        <f t="shared" si="0"/>
        <v>0.84(0.82-0.86)</v>
      </c>
      <c r="G19" t="str">
        <f t="shared" si="1"/>
        <v>&lt;0.001</v>
      </c>
      <c r="J19" t="s">
        <v>22</v>
      </c>
      <c r="K19">
        <v>0.83759130000000004</v>
      </c>
      <c r="L19">
        <v>0.81905660000000002</v>
      </c>
      <c r="M19">
        <v>0.85654540000000001</v>
      </c>
      <c r="N19" s="1">
        <v>2.4312229999999999E-54</v>
      </c>
      <c r="O19" t="str">
        <f t="shared" si="2"/>
        <v>0.84(0.82-0.86)</v>
      </c>
      <c r="P19" t="str">
        <f t="shared" si="3"/>
        <v>&lt;0.001</v>
      </c>
      <c r="S19" t="s">
        <v>22</v>
      </c>
      <c r="T19">
        <v>0.84418170000000003</v>
      </c>
      <c r="U19">
        <v>0.82563010000000003</v>
      </c>
      <c r="V19">
        <v>0.86315019999999998</v>
      </c>
      <c r="W19" s="1">
        <v>0</v>
      </c>
      <c r="X19" t="str">
        <f t="shared" si="4"/>
        <v>0.84(0.83-0.86)</v>
      </c>
      <c r="Y19" t="str">
        <f t="shared" si="5"/>
        <v>&lt;0.001</v>
      </c>
      <c r="AD19" s="1"/>
      <c r="AE19" s="1"/>
    </row>
    <row r="20" spans="1:31" x14ac:dyDescent="0.3">
      <c r="A20" t="s">
        <v>23</v>
      </c>
      <c r="B20">
        <v>0.4240543</v>
      </c>
      <c r="C20">
        <v>0.41381220000000002</v>
      </c>
      <c r="D20">
        <v>0.43454989999999999</v>
      </c>
      <c r="E20">
        <v>0</v>
      </c>
      <c r="F20" t="str">
        <f t="shared" si="0"/>
        <v>0.42(0.41-0.43)</v>
      </c>
      <c r="G20" t="str">
        <f t="shared" si="1"/>
        <v>&lt;0.001</v>
      </c>
      <c r="J20" t="s">
        <v>23</v>
      </c>
      <c r="K20">
        <v>0.40798620000000002</v>
      </c>
      <c r="L20">
        <v>0.3979029</v>
      </c>
      <c r="M20">
        <v>0.41832520000000001</v>
      </c>
      <c r="N20">
        <v>0</v>
      </c>
      <c r="O20" t="str">
        <f t="shared" si="2"/>
        <v>0.41(0.4-0.42)</v>
      </c>
      <c r="P20" t="str">
        <f t="shared" si="3"/>
        <v>&lt;0.001</v>
      </c>
      <c r="S20" t="s">
        <v>23</v>
      </c>
      <c r="T20">
        <v>0.41701899999999997</v>
      </c>
      <c r="U20">
        <v>0.4071168</v>
      </c>
      <c r="V20">
        <v>0.42716219999999999</v>
      </c>
      <c r="W20">
        <v>0</v>
      </c>
      <c r="X20" t="str">
        <f t="shared" si="4"/>
        <v>0.42(0.41-0.43)</v>
      </c>
      <c r="Y20" t="str">
        <f t="shared" si="5"/>
        <v>&lt;0.001</v>
      </c>
      <c r="AD20" s="1"/>
      <c r="AE20" s="1"/>
    </row>
    <row r="21" spans="1:31" x14ac:dyDescent="0.3">
      <c r="A21" t="s">
        <v>24</v>
      </c>
      <c r="B21">
        <v>2.3581880000000002</v>
      </c>
      <c r="C21">
        <v>2.301231</v>
      </c>
      <c r="D21">
        <v>2.4165549999999998</v>
      </c>
      <c r="E21">
        <v>0</v>
      </c>
      <c r="F21" t="str">
        <f t="shared" si="0"/>
        <v>2.36(2.3-2.42)</v>
      </c>
      <c r="G21" t="str">
        <f t="shared" si="1"/>
        <v>&lt;0.001</v>
      </c>
      <c r="J21" t="s">
        <v>24</v>
      </c>
      <c r="K21">
        <v>2.451063</v>
      </c>
      <c r="L21">
        <v>2.390485</v>
      </c>
      <c r="M21">
        <v>2.5131760000000001</v>
      </c>
      <c r="N21">
        <v>0</v>
      </c>
      <c r="O21" t="str">
        <f t="shared" si="2"/>
        <v>2.45(2.39-2.51)</v>
      </c>
      <c r="P21" t="str">
        <f t="shared" si="3"/>
        <v>&lt;0.001</v>
      </c>
      <c r="S21" t="s">
        <v>24</v>
      </c>
      <c r="T21">
        <v>2.3979720000000002</v>
      </c>
      <c r="U21">
        <v>2.3410310000000001</v>
      </c>
      <c r="V21">
        <v>2.4562979999999999</v>
      </c>
      <c r="W21">
        <v>0</v>
      </c>
      <c r="X21" t="str">
        <f t="shared" si="4"/>
        <v>2.4(2.34-2.46)</v>
      </c>
      <c r="Y21" t="str">
        <f t="shared" si="5"/>
        <v>&lt;0.001</v>
      </c>
    </row>
    <row r="22" spans="1:31" x14ac:dyDescent="0.3">
      <c r="A22" t="s">
        <v>25</v>
      </c>
      <c r="B22">
        <v>2.5489060000000001</v>
      </c>
      <c r="C22">
        <v>2.4703349999999999</v>
      </c>
      <c r="D22">
        <v>2.6299760000000001</v>
      </c>
      <c r="E22">
        <v>0</v>
      </c>
      <c r="F22" t="str">
        <f t="shared" si="0"/>
        <v>2.55(2.47-2.63)</v>
      </c>
      <c r="G22" t="str">
        <f t="shared" si="1"/>
        <v>&lt;0.001</v>
      </c>
      <c r="J22" t="s">
        <v>25</v>
      </c>
      <c r="K22">
        <v>2.9993509999999999</v>
      </c>
      <c r="L22">
        <v>2.8964669999999999</v>
      </c>
      <c r="M22">
        <v>3.10589</v>
      </c>
      <c r="N22">
        <v>0</v>
      </c>
      <c r="O22" t="str">
        <f t="shared" si="2"/>
        <v>3(2.9-3.11)</v>
      </c>
      <c r="P22" t="str">
        <f t="shared" si="3"/>
        <v>&lt;0.001</v>
      </c>
      <c r="S22" t="s">
        <v>25</v>
      </c>
      <c r="T22">
        <v>2.956375</v>
      </c>
      <c r="U22">
        <v>2.855963</v>
      </c>
      <c r="V22">
        <v>3.0603189999999998</v>
      </c>
      <c r="W22">
        <v>0</v>
      </c>
      <c r="X22" t="str">
        <f t="shared" si="4"/>
        <v>2.96(2.86-3.06)</v>
      </c>
      <c r="Y22" t="str">
        <f t="shared" si="5"/>
        <v>&lt;0.001</v>
      </c>
    </row>
    <row r="23" spans="1:31" x14ac:dyDescent="0.3">
      <c r="A23" t="s">
        <v>26</v>
      </c>
      <c r="B23">
        <v>7.4953349999999999</v>
      </c>
      <c r="C23">
        <v>7.2801780000000003</v>
      </c>
      <c r="D23">
        <v>7.71685</v>
      </c>
      <c r="E23">
        <v>0</v>
      </c>
      <c r="F23" t="str">
        <f t="shared" si="0"/>
        <v>7.5(7.28-7.72)</v>
      </c>
      <c r="G23" t="str">
        <f t="shared" si="1"/>
        <v>&lt;0.001</v>
      </c>
      <c r="J23" t="s">
        <v>26</v>
      </c>
      <c r="K23">
        <v>9.2275220000000004</v>
      </c>
      <c r="L23">
        <v>8.9316549999999992</v>
      </c>
      <c r="M23">
        <v>9.5331899999999994</v>
      </c>
      <c r="N23">
        <v>0</v>
      </c>
      <c r="O23" t="str">
        <f t="shared" si="2"/>
        <v>9.23(8.93-9.53)</v>
      </c>
      <c r="P23" t="str">
        <f t="shared" si="3"/>
        <v>&lt;0.001</v>
      </c>
      <c r="S23" t="s">
        <v>26</v>
      </c>
      <c r="T23">
        <v>8.7201129999999996</v>
      </c>
      <c r="U23">
        <v>8.4426670000000001</v>
      </c>
      <c r="V23">
        <v>9.0066760000000006</v>
      </c>
      <c r="W23">
        <v>0</v>
      </c>
      <c r="X23" t="str">
        <f t="shared" si="4"/>
        <v>8.72(8.44-9.01)</v>
      </c>
      <c r="Y23" t="str">
        <f t="shared" si="5"/>
        <v>&lt;0.001</v>
      </c>
    </row>
    <row r="24" spans="1:31" x14ac:dyDescent="0.3">
      <c r="A24" t="s">
        <v>27</v>
      </c>
      <c r="B24">
        <v>4.0292810000000001</v>
      </c>
      <c r="C24">
        <v>3.859737</v>
      </c>
      <c r="D24">
        <v>4.2062720000000002</v>
      </c>
      <c r="E24">
        <v>0</v>
      </c>
      <c r="F24" t="str">
        <f t="shared" si="0"/>
        <v>4.03(3.86-4.21)</v>
      </c>
      <c r="G24" t="str">
        <f t="shared" si="1"/>
        <v>&lt;0.001</v>
      </c>
      <c r="J24" t="s">
        <v>27</v>
      </c>
      <c r="K24">
        <v>4.5263470000000003</v>
      </c>
      <c r="L24">
        <v>4.3174109999999999</v>
      </c>
      <c r="M24">
        <v>4.7453950000000003</v>
      </c>
      <c r="N24">
        <v>0</v>
      </c>
      <c r="O24" t="str">
        <f t="shared" si="2"/>
        <v>4.53(4.32-4.75)</v>
      </c>
      <c r="P24" t="str">
        <f t="shared" si="3"/>
        <v>&lt;0.001</v>
      </c>
      <c r="S24" t="s">
        <v>27</v>
      </c>
      <c r="T24">
        <v>4.2152390000000004</v>
      </c>
      <c r="U24">
        <v>4.0155940000000001</v>
      </c>
      <c r="V24">
        <v>4.4248089999999998</v>
      </c>
      <c r="W24">
        <v>0</v>
      </c>
      <c r="X24" t="str">
        <f t="shared" si="4"/>
        <v>4.22(4.02-4.42)</v>
      </c>
      <c r="Y24" t="str">
        <f t="shared" si="5"/>
        <v>&lt;0.001</v>
      </c>
    </row>
    <row r="25" spans="1:31" x14ac:dyDescent="0.3">
      <c r="A25" t="s">
        <v>28</v>
      </c>
      <c r="B25">
        <v>0.1701279</v>
      </c>
      <c r="C25">
        <v>0.16622049999999999</v>
      </c>
      <c r="D25">
        <v>0.17412720000000001</v>
      </c>
      <c r="E25">
        <v>0</v>
      </c>
      <c r="F25" t="str">
        <f t="shared" si="0"/>
        <v>0.17(0.17-0.17)</v>
      </c>
      <c r="G25" t="str">
        <f t="shared" si="1"/>
        <v>&lt;0.001</v>
      </c>
      <c r="J25" t="s">
        <v>28</v>
      </c>
      <c r="K25">
        <v>0.15243480000000001</v>
      </c>
      <c r="L25">
        <v>0.14863870000000001</v>
      </c>
      <c r="M25">
        <v>0.15632779999999999</v>
      </c>
      <c r="N25">
        <v>0</v>
      </c>
      <c r="O25" t="str">
        <f t="shared" si="2"/>
        <v>0.15(0.15-0.16)</v>
      </c>
      <c r="P25" t="str">
        <f t="shared" si="3"/>
        <v>&lt;0.001</v>
      </c>
      <c r="S25" t="s">
        <v>28</v>
      </c>
      <c r="T25">
        <v>0.16392380000000001</v>
      </c>
      <c r="U25">
        <v>0.1599672</v>
      </c>
      <c r="V25">
        <v>0.16797819999999999</v>
      </c>
      <c r="W25">
        <v>0</v>
      </c>
      <c r="X25" t="str">
        <f t="shared" si="4"/>
        <v>0.16(0.16-0.17)</v>
      </c>
      <c r="Y25" t="str">
        <f t="shared" si="5"/>
        <v>&lt;0.001</v>
      </c>
    </row>
    <row r="26" spans="1:31" x14ac:dyDescent="0.3">
      <c r="A26" t="s">
        <v>29</v>
      </c>
      <c r="B26">
        <v>1.639518</v>
      </c>
      <c r="C26">
        <v>1.605807</v>
      </c>
      <c r="D26">
        <v>1.673937</v>
      </c>
      <c r="E26">
        <v>0</v>
      </c>
      <c r="F26" t="str">
        <f t="shared" si="0"/>
        <v>1.64(1.61-1.67)</v>
      </c>
      <c r="G26" t="str">
        <f t="shared" si="1"/>
        <v>&lt;0.001</v>
      </c>
      <c r="J26" t="s">
        <v>29</v>
      </c>
      <c r="K26">
        <v>1.6911130000000001</v>
      </c>
      <c r="L26">
        <v>1.655268</v>
      </c>
      <c r="M26">
        <v>1.727735</v>
      </c>
      <c r="N26">
        <v>0</v>
      </c>
      <c r="O26" t="str">
        <f t="shared" si="2"/>
        <v>1.69(1.66-1.73)</v>
      </c>
      <c r="P26" t="str">
        <f t="shared" si="3"/>
        <v>&lt;0.001</v>
      </c>
      <c r="S26" t="s">
        <v>29</v>
      </c>
      <c r="T26">
        <v>1.683546</v>
      </c>
      <c r="U26">
        <v>1.6496299999999999</v>
      </c>
      <c r="V26">
        <v>1.7181599999999999</v>
      </c>
      <c r="W26">
        <v>0</v>
      </c>
      <c r="X26" t="str">
        <f t="shared" si="4"/>
        <v>1.68(1.65-1.72)</v>
      </c>
      <c r="Y26" t="str">
        <f t="shared" si="5"/>
        <v>&lt;0.001</v>
      </c>
    </row>
    <row r="27" spans="1:31" x14ac:dyDescent="0.3">
      <c r="A27" t="s">
        <v>31</v>
      </c>
      <c r="B27">
        <v>1.74705</v>
      </c>
      <c r="C27">
        <v>1.716065</v>
      </c>
      <c r="D27">
        <v>1.778594</v>
      </c>
      <c r="E27">
        <v>0</v>
      </c>
      <c r="F27" t="str">
        <f t="shared" si="0"/>
        <v>1.75(1.72-1.78)</v>
      </c>
      <c r="G27" t="str">
        <f t="shared" si="1"/>
        <v>&lt;0.001</v>
      </c>
      <c r="J27" t="s">
        <v>31</v>
      </c>
      <c r="K27">
        <v>1.88792</v>
      </c>
      <c r="L27">
        <v>1.8528929999999999</v>
      </c>
      <c r="M27">
        <v>1.923608</v>
      </c>
      <c r="N27">
        <v>0</v>
      </c>
      <c r="O27" t="str">
        <f t="shared" si="2"/>
        <v>1.89(1.85-1.92)</v>
      </c>
      <c r="P27" t="str">
        <f t="shared" si="3"/>
        <v>&lt;0.001</v>
      </c>
      <c r="S27" t="s">
        <v>31</v>
      </c>
      <c r="T27">
        <v>1.9040079999999999</v>
      </c>
      <c r="U27">
        <v>1.868241</v>
      </c>
      <c r="V27">
        <v>1.9404600000000001</v>
      </c>
      <c r="W27">
        <v>0</v>
      </c>
      <c r="X27" t="str">
        <f t="shared" si="4"/>
        <v>1.9(1.87-1.94)</v>
      </c>
      <c r="Y27" t="str">
        <f t="shared" si="5"/>
        <v>&lt;0.001</v>
      </c>
    </row>
    <row r="31" spans="1:31" x14ac:dyDescent="0.3">
      <c r="A31" t="s">
        <v>33</v>
      </c>
      <c r="J31" t="s">
        <v>35</v>
      </c>
      <c r="S31" t="s">
        <v>37</v>
      </c>
    </row>
    <row r="32" spans="1:31" x14ac:dyDescent="0.3">
      <c r="B32" t="s">
        <v>3</v>
      </c>
      <c r="C32" t="s">
        <v>4</v>
      </c>
      <c r="D32" t="s">
        <v>5</v>
      </c>
      <c r="E32" t="s">
        <v>8</v>
      </c>
      <c r="F32" t="s">
        <v>6</v>
      </c>
      <c r="G32" t="s">
        <v>7</v>
      </c>
      <c r="K32" t="s">
        <v>3</v>
      </c>
      <c r="L32" t="s">
        <v>4</v>
      </c>
      <c r="M32" t="s">
        <v>5</v>
      </c>
      <c r="N32" t="s">
        <v>8</v>
      </c>
      <c r="O32" t="s">
        <v>6</v>
      </c>
      <c r="P32" t="s">
        <v>7</v>
      </c>
      <c r="T32" t="s">
        <v>3</v>
      </c>
      <c r="U32" t="s">
        <v>4</v>
      </c>
      <c r="V32" t="s">
        <v>5</v>
      </c>
      <c r="W32" t="s">
        <v>8</v>
      </c>
      <c r="X32" t="s">
        <v>6</v>
      </c>
      <c r="Y32" t="s">
        <v>7</v>
      </c>
    </row>
    <row r="33" spans="1:36" x14ac:dyDescent="0.3">
      <c r="A33" t="s">
        <v>1</v>
      </c>
      <c r="B33">
        <v>0.95216639999999997</v>
      </c>
      <c r="C33">
        <v>0.9286645</v>
      </c>
      <c r="D33">
        <v>0.97626299999999999</v>
      </c>
      <c r="E33" s="1">
        <v>1.21076E-4</v>
      </c>
      <c r="F33" t="str">
        <f>ROUND(B33,2)&amp;"("&amp;ROUND(C33,2)&amp;"-"&amp;ROUND(D33,2)&amp;")"</f>
        <v>0.95(0.93-0.98)</v>
      </c>
      <c r="G33" t="str">
        <f>IF(E33&lt;0.001,"&lt;0.001",ROUND(E33,3))</f>
        <v>&lt;0.001</v>
      </c>
      <c r="J33" t="s">
        <v>1</v>
      </c>
      <c r="K33">
        <v>0.95505370000000001</v>
      </c>
      <c r="L33">
        <v>0.93052409999999997</v>
      </c>
      <c r="M33">
        <v>0.98022989999999999</v>
      </c>
      <c r="N33" s="1">
        <v>5.3201599999999996E-4</v>
      </c>
      <c r="O33" t="str">
        <f t="shared" ref="O33:O54" si="6">ROUND(K33,2)&amp;"("&amp;ROUND(L33,2)&amp;"-"&amp;ROUND(M33,2)&amp;")"</f>
        <v>0.96(0.93-0.98)</v>
      </c>
      <c r="P33" t="str">
        <f>IF(N33&lt;0.001,"&lt;0.001",ROUND(N33,3))</f>
        <v>&lt;0.001</v>
      </c>
      <c r="S33" t="s">
        <v>1</v>
      </c>
      <c r="T33">
        <v>0.95908879999999996</v>
      </c>
      <c r="U33">
        <v>0.93207759999999995</v>
      </c>
      <c r="V33">
        <v>0.9868827</v>
      </c>
      <c r="W33" s="1">
        <v>4.1579470000000004E-3</v>
      </c>
      <c r="X33" t="str">
        <f t="shared" ref="X33:X54" si="7">ROUND(T33,2)&amp;"("&amp;ROUND(U33,2)&amp;"-"&amp;ROUND(V33,2)&amp;")"</f>
        <v>0.96(0.93-0.99)</v>
      </c>
      <c r="Y33">
        <f>IF(W33&lt;0.001,"&lt;0.001",ROUND(W33,3))</f>
        <v>4.0000000000000001E-3</v>
      </c>
    </row>
    <row r="34" spans="1:36" x14ac:dyDescent="0.3">
      <c r="A34" t="s">
        <v>2</v>
      </c>
      <c r="B34">
        <v>0.85833559999999998</v>
      </c>
      <c r="C34">
        <v>0.83737240000000002</v>
      </c>
      <c r="D34">
        <v>0.87982369999999999</v>
      </c>
      <c r="E34" s="1">
        <v>9.4937650000000003E-34</v>
      </c>
      <c r="F34" t="str">
        <f t="shared" ref="F34:F42" si="8">ROUND(B34,2)&amp;"("&amp;ROUND(C34,2)&amp;"-"&amp;ROUND(D34,2)&amp;")"</f>
        <v>0.86(0.84-0.88)</v>
      </c>
      <c r="G34" t="str">
        <f t="shared" ref="G34:G42" si="9">IF(E34&lt;0.001,"&lt;0.001",ROUND(E34,3))</f>
        <v>&lt;0.001</v>
      </c>
      <c r="J34" t="s">
        <v>2</v>
      </c>
      <c r="K34">
        <v>0.85446279999999997</v>
      </c>
      <c r="L34">
        <v>0.83263500000000001</v>
      </c>
      <c r="M34">
        <v>0.87686280000000005</v>
      </c>
      <c r="N34" s="1">
        <v>1.0181139999999999E-32</v>
      </c>
      <c r="O34" t="str">
        <f t="shared" si="6"/>
        <v>0.85(0.83-0.88)</v>
      </c>
      <c r="P34" t="str">
        <f t="shared" ref="P34:P48" si="10">IF(N34&lt;0.001,"&lt;0.001",ROUND(N34,3))</f>
        <v>&lt;0.001</v>
      </c>
      <c r="S34" t="s">
        <v>2</v>
      </c>
      <c r="T34">
        <v>0.85912770000000005</v>
      </c>
      <c r="U34">
        <v>0.83503150000000004</v>
      </c>
      <c r="V34">
        <v>0.88391929999999996</v>
      </c>
      <c r="W34" s="1">
        <v>0</v>
      </c>
      <c r="X34" t="str">
        <f t="shared" si="7"/>
        <v>0.86(0.84-0.88)</v>
      </c>
      <c r="Y34" t="str">
        <f t="shared" ref="Y34:Y54" si="11">IF(W34&lt;0.001,"&lt;0.001",ROUND(W34,3))</f>
        <v>&lt;0.001</v>
      </c>
    </row>
    <row r="35" spans="1:36" x14ac:dyDescent="0.3">
      <c r="A35" t="s">
        <v>2</v>
      </c>
      <c r="B35">
        <v>0.90145549999999997</v>
      </c>
      <c r="C35">
        <v>0.87551520000000005</v>
      </c>
      <c r="D35">
        <v>0.92816449999999995</v>
      </c>
      <c r="E35" s="1">
        <v>3.308247E-12</v>
      </c>
      <c r="F35" t="str">
        <f t="shared" si="8"/>
        <v>0.9(0.88-0.93)</v>
      </c>
      <c r="G35" t="str">
        <f t="shared" si="9"/>
        <v>&lt;0.001</v>
      </c>
      <c r="J35" t="s">
        <v>2</v>
      </c>
      <c r="K35">
        <v>0.89467509999999995</v>
      </c>
      <c r="L35">
        <v>0.86782190000000003</v>
      </c>
      <c r="M35">
        <v>0.92235920000000005</v>
      </c>
      <c r="N35" s="1">
        <v>8.186375E-13</v>
      </c>
      <c r="O35" t="str">
        <f t="shared" si="6"/>
        <v>0.89(0.87-0.92)</v>
      </c>
      <c r="P35" t="str">
        <f t="shared" si="10"/>
        <v>&lt;0.001</v>
      </c>
      <c r="S35" t="s">
        <v>2</v>
      </c>
      <c r="T35">
        <v>0.89577499999999999</v>
      </c>
      <c r="U35">
        <v>0.86644290000000002</v>
      </c>
      <c r="V35">
        <v>0.92610009999999998</v>
      </c>
      <c r="W35" s="1">
        <v>9.1898930000000003E-11</v>
      </c>
      <c r="X35" t="str">
        <f t="shared" si="7"/>
        <v>0.9(0.87-0.93)</v>
      </c>
      <c r="Y35" t="str">
        <f t="shared" si="11"/>
        <v>&lt;0.001</v>
      </c>
    </row>
    <row r="36" spans="1:36" x14ac:dyDescent="0.3">
      <c r="A36" t="s">
        <v>9</v>
      </c>
      <c r="B36">
        <v>1.0399042999999999</v>
      </c>
      <c r="C36">
        <v>1.0385659</v>
      </c>
      <c r="D36">
        <v>1.0412443</v>
      </c>
      <c r="E36" s="1">
        <v>0</v>
      </c>
      <c r="F36" t="str">
        <f t="shared" si="8"/>
        <v>1.04(1.04-1.04)</v>
      </c>
      <c r="G36" t="str">
        <f t="shared" si="9"/>
        <v>&lt;0.001</v>
      </c>
      <c r="J36" t="s">
        <v>9</v>
      </c>
      <c r="K36">
        <v>1.0382925000000001</v>
      </c>
      <c r="L36">
        <v>1.036904</v>
      </c>
      <c r="M36">
        <v>1.0396828</v>
      </c>
      <c r="N36" s="1">
        <v>0</v>
      </c>
      <c r="O36" t="str">
        <f t="shared" si="6"/>
        <v>1.04(1.04-1.04)</v>
      </c>
      <c r="P36" t="str">
        <f t="shared" si="10"/>
        <v>&lt;0.001</v>
      </c>
      <c r="S36" t="s">
        <v>9</v>
      </c>
      <c r="T36">
        <v>1.0340354</v>
      </c>
      <c r="U36">
        <v>1.0325941000000001</v>
      </c>
      <c r="V36">
        <v>1.0354787000000001</v>
      </c>
      <c r="W36" s="1">
        <v>0</v>
      </c>
      <c r="X36" t="str">
        <f t="shared" si="7"/>
        <v>1.03(1.03-1.04)</v>
      </c>
      <c r="Y36" t="str">
        <f t="shared" si="11"/>
        <v>&lt;0.001</v>
      </c>
    </row>
    <row r="37" spans="1:36" x14ac:dyDescent="0.3">
      <c r="A37" t="s">
        <v>10</v>
      </c>
      <c r="B37">
        <v>1.6133145</v>
      </c>
      <c r="C37">
        <v>1.5691922</v>
      </c>
      <c r="D37">
        <v>1.6586776000000001</v>
      </c>
      <c r="E37" s="1">
        <v>1.6149690000000001E-250</v>
      </c>
      <c r="F37" t="str">
        <f t="shared" si="8"/>
        <v>1.61(1.57-1.66)</v>
      </c>
      <c r="G37" t="str">
        <f t="shared" si="9"/>
        <v>&lt;0.001</v>
      </c>
      <c r="J37" t="s">
        <v>10</v>
      </c>
      <c r="K37">
        <v>1.5712794000000001</v>
      </c>
      <c r="L37">
        <v>1.5265016</v>
      </c>
      <c r="M37">
        <v>1.6173706999999999</v>
      </c>
      <c r="N37" s="1">
        <v>4.2699169999999999E-206</v>
      </c>
      <c r="O37" t="str">
        <f t="shared" si="6"/>
        <v>1.57(1.53-1.62)</v>
      </c>
      <c r="P37" t="str">
        <f t="shared" si="10"/>
        <v>&lt;0.001</v>
      </c>
      <c r="S37" t="s">
        <v>10</v>
      </c>
      <c r="T37">
        <v>1.4847459000000001</v>
      </c>
      <c r="U37">
        <v>1.4408418999999999</v>
      </c>
      <c r="V37">
        <v>1.5299877</v>
      </c>
      <c r="W37" s="1">
        <v>0</v>
      </c>
      <c r="X37" t="str">
        <f t="shared" si="7"/>
        <v>1.48(1.44-1.53)</v>
      </c>
      <c r="Y37" t="str">
        <f t="shared" si="11"/>
        <v>&lt;0.001</v>
      </c>
    </row>
    <row r="38" spans="1:36" x14ac:dyDescent="0.3">
      <c r="A38" t="s">
        <v>14</v>
      </c>
      <c r="B38">
        <v>0.9702094</v>
      </c>
      <c r="C38">
        <v>0.96685520000000003</v>
      </c>
      <c r="D38">
        <v>0.97357519999999997</v>
      </c>
      <c r="E38" s="1">
        <v>1.1222290000000001E-65</v>
      </c>
      <c r="F38" t="str">
        <f t="shared" si="8"/>
        <v>0.97(0.97-0.97)</v>
      </c>
      <c r="G38" t="str">
        <f t="shared" si="9"/>
        <v>&lt;0.001</v>
      </c>
      <c r="J38" t="s">
        <v>14</v>
      </c>
      <c r="K38">
        <v>0.97044830000000004</v>
      </c>
      <c r="L38">
        <v>0.96695319999999996</v>
      </c>
      <c r="M38">
        <v>0.97395600000000004</v>
      </c>
      <c r="N38" s="1">
        <v>1.0664310000000001E-59</v>
      </c>
      <c r="O38" t="str">
        <f t="shared" si="6"/>
        <v>0.97(0.97-0.97)</v>
      </c>
      <c r="P38" t="str">
        <f t="shared" si="10"/>
        <v>&lt;0.001</v>
      </c>
      <c r="S38" t="s">
        <v>14</v>
      </c>
      <c r="T38">
        <v>0.97449269999999999</v>
      </c>
      <c r="U38">
        <v>0.97075310000000004</v>
      </c>
      <c r="V38">
        <v>0.97824670000000002</v>
      </c>
      <c r="W38" s="1">
        <v>0</v>
      </c>
      <c r="X38" t="str">
        <f t="shared" si="7"/>
        <v>0.97(0.97-0.98)</v>
      </c>
      <c r="Y38" t="str">
        <f t="shared" si="11"/>
        <v>&lt;0.001</v>
      </c>
      <c r="AI38" s="1"/>
      <c r="AJ38" s="1"/>
    </row>
    <row r="39" spans="1:36" x14ac:dyDescent="0.3">
      <c r="A39" t="s">
        <v>15</v>
      </c>
      <c r="B39">
        <v>0.95854879999999998</v>
      </c>
      <c r="C39">
        <v>0.92889869999999997</v>
      </c>
      <c r="D39">
        <v>0.98914530000000001</v>
      </c>
      <c r="E39" s="1">
        <v>8.2719569999999999E-3</v>
      </c>
      <c r="F39" t="str">
        <f t="shared" si="8"/>
        <v>0.96(0.93-0.99)</v>
      </c>
      <c r="G39">
        <f t="shared" si="9"/>
        <v>8.0000000000000002E-3</v>
      </c>
      <c r="J39" t="s">
        <v>15</v>
      </c>
      <c r="K39">
        <v>0.95809690000000003</v>
      </c>
      <c r="L39">
        <v>0.92728330000000003</v>
      </c>
      <c r="M39">
        <v>0.98993450000000005</v>
      </c>
      <c r="N39" s="1">
        <v>1.0272679999999999E-2</v>
      </c>
      <c r="O39" t="str">
        <f t="shared" si="6"/>
        <v>0.96(0.93-0.99)</v>
      </c>
      <c r="P39">
        <f t="shared" si="10"/>
        <v>0.01</v>
      </c>
      <c r="S39" t="s">
        <v>15</v>
      </c>
      <c r="T39">
        <v>0.97111000000000003</v>
      </c>
      <c r="U39">
        <v>0.93730380000000002</v>
      </c>
      <c r="V39">
        <v>1.0061355000000001</v>
      </c>
      <c r="W39" s="1">
        <v>0.1048804</v>
      </c>
      <c r="X39" t="str">
        <f t="shared" si="7"/>
        <v>0.97(0.94-1.01)</v>
      </c>
      <c r="Y39">
        <f t="shared" si="11"/>
        <v>0.105</v>
      </c>
      <c r="AI39" s="1"/>
      <c r="AJ39" s="1"/>
    </row>
    <row r="40" spans="1:36" x14ac:dyDescent="0.3">
      <c r="A40" t="s">
        <v>16</v>
      </c>
      <c r="B40">
        <v>0.9569299</v>
      </c>
      <c r="C40">
        <v>0.92876289999999995</v>
      </c>
      <c r="D40">
        <v>0.98595120000000003</v>
      </c>
      <c r="E40" s="1">
        <v>3.8754000000000002E-3</v>
      </c>
      <c r="F40" t="str">
        <f t="shared" si="8"/>
        <v>0.96(0.93-0.99)</v>
      </c>
      <c r="G40">
        <f t="shared" si="9"/>
        <v>4.0000000000000001E-3</v>
      </c>
      <c r="J40" t="s">
        <v>16</v>
      </c>
      <c r="K40">
        <v>0.95912909999999996</v>
      </c>
      <c r="L40">
        <v>0.92977770000000004</v>
      </c>
      <c r="M40">
        <v>0.98940709999999998</v>
      </c>
      <c r="N40" s="1">
        <v>8.5000379999999997E-3</v>
      </c>
      <c r="O40" t="str">
        <f t="shared" si="6"/>
        <v>0.96(0.93-0.99)</v>
      </c>
      <c r="P40">
        <f t="shared" si="10"/>
        <v>8.9999999999999993E-3</v>
      </c>
      <c r="S40" t="s">
        <v>16</v>
      </c>
      <c r="T40">
        <v>0.97440760000000004</v>
      </c>
      <c r="U40">
        <v>0.94193729999999998</v>
      </c>
      <c r="V40">
        <v>1.0079971000000001</v>
      </c>
      <c r="W40" s="1">
        <v>0.13378419999999999</v>
      </c>
      <c r="X40" t="str">
        <f t="shared" si="7"/>
        <v>0.97(0.94-1.01)</v>
      </c>
      <c r="Y40">
        <f t="shared" si="11"/>
        <v>0.13400000000000001</v>
      </c>
      <c r="AI40" s="1"/>
      <c r="AJ40" s="1"/>
    </row>
    <row r="41" spans="1:36" x14ac:dyDescent="0.3">
      <c r="A41" t="s">
        <v>17</v>
      </c>
      <c r="B41">
        <v>0.9231087</v>
      </c>
      <c r="C41">
        <v>0.89805000000000001</v>
      </c>
      <c r="D41">
        <v>0.94886669999999995</v>
      </c>
      <c r="E41" s="1">
        <v>1.212942E-8</v>
      </c>
      <c r="F41" t="str">
        <f t="shared" si="8"/>
        <v>0.92(0.9-0.95)</v>
      </c>
      <c r="G41" t="str">
        <f t="shared" si="9"/>
        <v>&lt;0.001</v>
      </c>
      <c r="J41" t="s">
        <v>17</v>
      </c>
      <c r="K41">
        <v>0.92042400000000002</v>
      </c>
      <c r="L41">
        <v>0.89439109999999999</v>
      </c>
      <c r="M41">
        <v>0.94721449999999996</v>
      </c>
      <c r="N41" s="1">
        <v>1.4743739999999999E-8</v>
      </c>
      <c r="O41" t="str">
        <f t="shared" si="6"/>
        <v>0.92(0.89-0.95)</v>
      </c>
      <c r="P41" t="str">
        <f t="shared" si="10"/>
        <v>&lt;0.001</v>
      </c>
      <c r="S41" t="s">
        <v>17</v>
      </c>
      <c r="T41">
        <v>0.92400070000000001</v>
      </c>
      <c r="U41">
        <v>0.89545620000000004</v>
      </c>
      <c r="V41">
        <v>0.95345500000000005</v>
      </c>
      <c r="W41" s="1">
        <v>7.9294509999999998E-7</v>
      </c>
      <c r="X41" t="str">
        <f t="shared" si="7"/>
        <v>0.92(0.9-0.95)</v>
      </c>
      <c r="Y41" t="str">
        <f t="shared" si="11"/>
        <v>&lt;0.001</v>
      </c>
      <c r="AI41" s="1"/>
      <c r="AJ41" s="1"/>
    </row>
    <row r="42" spans="1:36" x14ac:dyDescent="0.3">
      <c r="A42" t="s">
        <v>18</v>
      </c>
      <c r="B42">
        <v>0.86153519999999995</v>
      </c>
      <c r="C42">
        <v>0.83957420000000005</v>
      </c>
      <c r="D42">
        <v>0.88407069999999999</v>
      </c>
      <c r="E42" s="1">
        <v>1.1326369999999999E-29</v>
      </c>
      <c r="F42" t="str">
        <f t="shared" si="8"/>
        <v>0.86(0.84-0.88)</v>
      </c>
      <c r="G42" t="str">
        <f t="shared" si="9"/>
        <v>&lt;0.001</v>
      </c>
      <c r="J42" t="s">
        <v>18</v>
      </c>
      <c r="K42">
        <v>0.86373999999999995</v>
      </c>
      <c r="L42">
        <v>0.84079610000000005</v>
      </c>
      <c r="M42">
        <v>0.88731000000000004</v>
      </c>
      <c r="N42" s="1">
        <v>1.5003759999999999E-26</v>
      </c>
      <c r="O42" t="str">
        <f t="shared" si="6"/>
        <v>0.86(0.84-0.89)</v>
      </c>
      <c r="P42" t="str">
        <f t="shared" si="10"/>
        <v>&lt;0.001</v>
      </c>
      <c r="S42" t="s">
        <v>18</v>
      </c>
      <c r="T42">
        <v>0.88143959999999999</v>
      </c>
      <c r="U42">
        <v>0.85586980000000001</v>
      </c>
      <c r="V42">
        <v>0.90777339999999995</v>
      </c>
      <c r="W42" s="1">
        <v>0</v>
      </c>
      <c r="X42" t="str">
        <f t="shared" si="7"/>
        <v>0.88(0.86-0.91)</v>
      </c>
      <c r="Y42" t="str">
        <f t="shared" si="11"/>
        <v>&lt;0.001</v>
      </c>
      <c r="AI42" s="1"/>
      <c r="AJ42" s="1"/>
    </row>
    <row r="43" spans="1:36" x14ac:dyDescent="0.3">
      <c r="A43" t="s">
        <v>19</v>
      </c>
      <c r="B43">
        <v>1.0905341</v>
      </c>
      <c r="C43">
        <v>1.0639782</v>
      </c>
      <c r="D43">
        <v>1.1177528000000001</v>
      </c>
      <c r="E43" s="1">
        <v>5.5659790000000003E-12</v>
      </c>
      <c r="F43" t="str">
        <f t="shared" ref="F43:F48" si="12">ROUND(B43,2)&amp;"("&amp;ROUND(C43,2)&amp;"-"&amp;ROUND(D43,2)&amp;")"</f>
        <v>1.09(1.06-1.12)</v>
      </c>
      <c r="G43" t="str">
        <f t="shared" ref="G43:G48" si="13">IF(E43&lt;0.001,"&lt;0.001",ROUND(E43,3))</f>
        <v>&lt;0.001</v>
      </c>
      <c r="J43" t="s">
        <v>19</v>
      </c>
      <c r="K43">
        <v>1.0869732999999999</v>
      </c>
      <c r="L43">
        <v>1.0595169</v>
      </c>
      <c r="M43">
        <v>1.1151412000000001</v>
      </c>
      <c r="N43" s="1">
        <v>1.6701839999999999E-10</v>
      </c>
      <c r="O43" t="str">
        <f t="shared" si="6"/>
        <v>1.09(1.06-1.12)</v>
      </c>
      <c r="P43" t="str">
        <f t="shared" si="10"/>
        <v>&lt;0.001</v>
      </c>
      <c r="S43" t="s">
        <v>19</v>
      </c>
      <c r="T43">
        <v>1.0748909</v>
      </c>
      <c r="U43">
        <v>1.0477319</v>
      </c>
      <c r="V43">
        <v>1.1027539</v>
      </c>
      <c r="W43" s="1">
        <v>3.1818029999999997E-8</v>
      </c>
      <c r="X43" t="str">
        <f t="shared" si="7"/>
        <v>1.07(1.05-1.1)</v>
      </c>
      <c r="Y43" t="str">
        <f t="shared" si="11"/>
        <v>&lt;0.001</v>
      </c>
      <c r="AI43" s="1"/>
      <c r="AJ43" s="1"/>
    </row>
    <row r="44" spans="1:36" x14ac:dyDescent="0.3">
      <c r="A44" t="s">
        <v>20</v>
      </c>
      <c r="B44">
        <v>1.2541027</v>
      </c>
      <c r="C44">
        <v>1.2121804</v>
      </c>
      <c r="D44">
        <v>1.2974748</v>
      </c>
      <c r="E44" s="1">
        <v>6.1596210000000005E-39</v>
      </c>
      <c r="F44" t="str">
        <f t="shared" si="12"/>
        <v>1.25(1.21-1.3)</v>
      </c>
      <c r="G44" t="str">
        <f t="shared" si="13"/>
        <v>&lt;0.001</v>
      </c>
      <c r="J44" t="s">
        <v>20</v>
      </c>
      <c r="K44">
        <v>1.2153362000000001</v>
      </c>
      <c r="L44">
        <v>1.1727198000000001</v>
      </c>
      <c r="M44">
        <v>1.2595012000000001</v>
      </c>
      <c r="N44" s="1">
        <v>9.3055709999999999E-27</v>
      </c>
      <c r="O44" t="str">
        <f t="shared" si="6"/>
        <v>1.22(1.17-1.26)</v>
      </c>
      <c r="P44" t="str">
        <f t="shared" si="10"/>
        <v>&lt;0.001</v>
      </c>
      <c r="S44" t="s">
        <v>20</v>
      </c>
      <c r="T44">
        <v>1.1621627999999999</v>
      </c>
      <c r="U44">
        <v>1.1188838000000001</v>
      </c>
      <c r="V44">
        <v>1.2071159</v>
      </c>
      <c r="W44" s="1">
        <v>8.4376949999999999E-15</v>
      </c>
      <c r="X44" t="str">
        <f t="shared" si="7"/>
        <v>1.16(1.12-1.21)</v>
      </c>
      <c r="Y44" t="str">
        <f t="shared" si="11"/>
        <v>&lt;0.001</v>
      </c>
      <c r="AI44" s="1"/>
      <c r="AJ44" s="1"/>
    </row>
    <row r="45" spans="1:36" x14ac:dyDescent="0.3">
      <c r="A45" t="s">
        <v>21</v>
      </c>
      <c r="B45">
        <v>1.4971748</v>
      </c>
      <c r="C45">
        <v>1.4530753000000001</v>
      </c>
      <c r="D45">
        <v>1.5426127999999999</v>
      </c>
      <c r="E45" s="1">
        <v>3.0346030000000003E-154</v>
      </c>
      <c r="F45" t="str">
        <f t="shared" si="12"/>
        <v>1.5(1.45-1.54)</v>
      </c>
      <c r="G45" t="str">
        <f t="shared" si="13"/>
        <v>&lt;0.001</v>
      </c>
      <c r="J45" t="s">
        <v>21</v>
      </c>
      <c r="K45">
        <v>1.4518511000000001</v>
      </c>
      <c r="L45">
        <v>1.4074435999999999</v>
      </c>
      <c r="M45">
        <v>1.4976598000000001</v>
      </c>
      <c r="N45" s="1">
        <v>2.3288729999999999E-122</v>
      </c>
      <c r="O45" t="str">
        <f t="shared" si="6"/>
        <v>1.45(1.41-1.5)</v>
      </c>
      <c r="P45" t="str">
        <f t="shared" si="10"/>
        <v>&lt;0.001</v>
      </c>
      <c r="S45" t="s">
        <v>21</v>
      </c>
      <c r="T45">
        <v>1.3536170000000001</v>
      </c>
      <c r="U45">
        <v>1.3084627</v>
      </c>
      <c r="V45">
        <v>1.4003296000000001</v>
      </c>
      <c r="W45" s="1">
        <v>0</v>
      </c>
      <c r="X45" t="str">
        <f t="shared" si="7"/>
        <v>1.35(1.31-1.4)</v>
      </c>
      <c r="Y45" t="str">
        <f t="shared" si="11"/>
        <v>&lt;0.001</v>
      </c>
      <c r="AI45" s="1"/>
      <c r="AJ45" s="1"/>
    </row>
    <row r="46" spans="1:36" x14ac:dyDescent="0.3">
      <c r="A46" t="s">
        <v>22</v>
      </c>
      <c r="B46">
        <v>0.88709499999999997</v>
      </c>
      <c r="C46">
        <v>0.86817160000000004</v>
      </c>
      <c r="D46">
        <v>0.90643090000000004</v>
      </c>
      <c r="E46" s="1">
        <v>1.2917109999999999E-27</v>
      </c>
      <c r="F46" t="str">
        <f t="shared" si="12"/>
        <v>0.89(0.87-0.91)</v>
      </c>
      <c r="G46" t="str">
        <f t="shared" si="13"/>
        <v>&lt;0.001</v>
      </c>
      <c r="J46" t="s">
        <v>22</v>
      </c>
      <c r="K46">
        <v>0.88946689999999995</v>
      </c>
      <c r="L46">
        <v>0.86969790000000002</v>
      </c>
      <c r="M46">
        <v>0.90968530000000003</v>
      </c>
      <c r="N46" s="1">
        <v>1.71459E-24</v>
      </c>
      <c r="O46" t="str">
        <f t="shared" si="6"/>
        <v>0.89(0.87-0.91)</v>
      </c>
      <c r="P46" t="str">
        <f t="shared" si="10"/>
        <v>&lt;0.001</v>
      </c>
      <c r="S46" t="s">
        <v>22</v>
      </c>
      <c r="T46">
        <v>0.90367569999999997</v>
      </c>
      <c r="U46">
        <v>0.88256880000000004</v>
      </c>
      <c r="V46">
        <v>0.92528730000000003</v>
      </c>
      <c r="W46" s="1">
        <v>0</v>
      </c>
      <c r="X46" t="str">
        <f t="shared" si="7"/>
        <v>0.9(0.88-0.93)</v>
      </c>
      <c r="Y46" t="str">
        <f t="shared" si="11"/>
        <v>&lt;0.001</v>
      </c>
      <c r="AI46" s="1"/>
      <c r="AJ46" s="1"/>
    </row>
    <row r="47" spans="1:36" x14ac:dyDescent="0.3">
      <c r="A47" t="s">
        <v>23</v>
      </c>
      <c r="B47">
        <v>0.75767379999999995</v>
      </c>
      <c r="C47">
        <v>0.73846330000000004</v>
      </c>
      <c r="D47">
        <v>0.77738399999999996</v>
      </c>
      <c r="E47" s="1">
        <v>1.510211E-99</v>
      </c>
      <c r="F47" t="str">
        <f t="shared" si="12"/>
        <v>0.76(0.74-0.78)</v>
      </c>
      <c r="G47" t="str">
        <f t="shared" si="13"/>
        <v>&lt;0.001</v>
      </c>
      <c r="J47" t="s">
        <v>23</v>
      </c>
      <c r="K47">
        <v>0.74691180000000001</v>
      </c>
      <c r="L47">
        <v>0.72754629999999998</v>
      </c>
      <c r="M47">
        <v>0.7667929</v>
      </c>
      <c r="N47" s="1">
        <v>4.3015520000000001E-105</v>
      </c>
      <c r="O47" t="str">
        <f t="shared" si="6"/>
        <v>0.75(0.73-0.77)</v>
      </c>
      <c r="P47" t="str">
        <f t="shared" si="10"/>
        <v>&lt;0.001</v>
      </c>
      <c r="S47" t="s">
        <v>23</v>
      </c>
      <c r="T47">
        <v>0.76537549999999999</v>
      </c>
      <c r="U47">
        <v>0.74337880000000001</v>
      </c>
      <c r="V47">
        <v>0.78802309999999998</v>
      </c>
      <c r="W47" s="1">
        <v>0</v>
      </c>
      <c r="X47" t="str">
        <f t="shared" si="7"/>
        <v>0.77(0.74-0.79)</v>
      </c>
      <c r="Y47" t="str">
        <f t="shared" si="11"/>
        <v>&lt;0.001</v>
      </c>
      <c r="AI47" s="1"/>
      <c r="AJ47" s="1"/>
    </row>
    <row r="48" spans="1:36" x14ac:dyDescent="0.3">
      <c r="A48" t="s">
        <v>32</v>
      </c>
      <c r="B48">
        <v>1.3198292</v>
      </c>
      <c r="C48">
        <v>1.2863655000000001</v>
      </c>
      <c r="D48">
        <v>1.3541634</v>
      </c>
      <c r="E48" s="1">
        <v>1.510211E-99</v>
      </c>
      <c r="F48" t="str">
        <f t="shared" si="12"/>
        <v>1.32(1.29-1.35)</v>
      </c>
      <c r="G48" t="str">
        <f t="shared" si="13"/>
        <v>&lt;0.001</v>
      </c>
      <c r="J48" t="s">
        <v>32</v>
      </c>
      <c r="K48">
        <v>1.3388461</v>
      </c>
      <c r="L48">
        <v>1.3041332000000001</v>
      </c>
      <c r="M48">
        <v>1.3744829999999999</v>
      </c>
      <c r="N48" s="1">
        <v>4.3015520000000001E-105</v>
      </c>
      <c r="O48" t="str">
        <f t="shared" si="6"/>
        <v>1.34(1.3-1.37)</v>
      </c>
      <c r="P48" t="str">
        <f t="shared" si="10"/>
        <v>&lt;0.001</v>
      </c>
      <c r="S48" t="s">
        <v>32</v>
      </c>
      <c r="T48">
        <v>1.3065481999999999</v>
      </c>
      <c r="U48">
        <v>1.2689983</v>
      </c>
      <c r="V48">
        <v>1.3452092</v>
      </c>
      <c r="W48" s="1">
        <v>0</v>
      </c>
      <c r="X48" t="str">
        <f t="shared" si="7"/>
        <v>1.31(1.27-1.35)</v>
      </c>
      <c r="Y48" t="str">
        <f t="shared" si="11"/>
        <v>&lt;0.001</v>
      </c>
      <c r="AI48" s="1"/>
      <c r="AJ48" s="1"/>
    </row>
    <row r="49" spans="1:36" x14ac:dyDescent="0.3">
      <c r="A49" t="s">
        <v>25</v>
      </c>
      <c r="B49">
        <v>2.1017597000000001</v>
      </c>
      <c r="C49">
        <v>2.0345349000000001</v>
      </c>
      <c r="D49">
        <v>2.1712056999999998</v>
      </c>
      <c r="E49" s="1">
        <v>0</v>
      </c>
      <c r="F49" t="str">
        <f t="shared" ref="F49:F54" si="14">ROUND(B49,2)&amp;"("&amp;ROUND(C49,2)&amp;"-"&amp;ROUND(D49,2)&amp;")"</f>
        <v>2.1(2.03-2.17)</v>
      </c>
      <c r="G49" t="str">
        <f t="shared" ref="G49:G54" si="15">IF(E49&lt;0.001,"&lt;0.001",ROUND(E49,3))</f>
        <v>&lt;0.001</v>
      </c>
      <c r="J49" t="s">
        <v>25</v>
      </c>
      <c r="K49">
        <v>2.4140541</v>
      </c>
      <c r="L49">
        <v>2.3283955999999999</v>
      </c>
      <c r="M49">
        <v>2.5028640000000002</v>
      </c>
      <c r="N49" s="1">
        <v>0</v>
      </c>
      <c r="O49" t="str">
        <f t="shared" si="6"/>
        <v>2.41(2.33-2.5)</v>
      </c>
      <c r="P49" t="str">
        <f t="shared" ref="P49:P54" si="16">IF(N49&lt;0.001,"&lt;0.001",ROUND(N49,3))</f>
        <v>&lt;0.001</v>
      </c>
      <c r="S49" t="s">
        <v>25</v>
      </c>
      <c r="T49">
        <v>2.3263772</v>
      </c>
      <c r="U49">
        <v>2.2438682000000001</v>
      </c>
      <c r="V49">
        <v>2.4119201000000001</v>
      </c>
      <c r="W49" s="1">
        <v>0</v>
      </c>
      <c r="X49" t="str">
        <f t="shared" si="7"/>
        <v>2.33(2.24-2.41)</v>
      </c>
      <c r="Y49" t="str">
        <f t="shared" si="11"/>
        <v>&lt;0.001</v>
      </c>
      <c r="AI49" s="1"/>
      <c r="AJ49" s="1"/>
    </row>
    <row r="50" spans="1:36" x14ac:dyDescent="0.3">
      <c r="A50" t="s">
        <v>26</v>
      </c>
      <c r="B50">
        <v>4.4219273000000001</v>
      </c>
      <c r="C50">
        <v>4.2767337999999997</v>
      </c>
      <c r="D50">
        <v>4.5720498999999997</v>
      </c>
      <c r="E50" s="1">
        <v>0</v>
      </c>
      <c r="F50" t="str">
        <f t="shared" si="14"/>
        <v>4.42(4.28-4.57)</v>
      </c>
      <c r="G50" t="str">
        <f t="shared" si="15"/>
        <v>&lt;0.001</v>
      </c>
      <c r="J50" t="s">
        <v>26</v>
      </c>
      <c r="K50">
        <v>5.2146030000000003</v>
      </c>
      <c r="L50">
        <v>5.0261604000000002</v>
      </c>
      <c r="M50">
        <v>5.4101106999999997</v>
      </c>
      <c r="N50" s="1">
        <v>0</v>
      </c>
      <c r="O50" t="str">
        <f t="shared" si="6"/>
        <v>5.21(5.03-5.41)</v>
      </c>
      <c r="P50" t="str">
        <f t="shared" si="16"/>
        <v>&lt;0.001</v>
      </c>
      <c r="S50" t="s">
        <v>26</v>
      </c>
      <c r="T50">
        <v>4.7568910999999998</v>
      </c>
      <c r="U50">
        <v>4.574173</v>
      </c>
      <c r="V50">
        <v>4.9469079000000002</v>
      </c>
      <c r="W50" s="1">
        <v>0</v>
      </c>
      <c r="X50" t="str">
        <f t="shared" si="7"/>
        <v>4.76(4.57-4.95)</v>
      </c>
      <c r="Y50" t="str">
        <f t="shared" si="11"/>
        <v>&lt;0.001</v>
      </c>
      <c r="AI50" s="1"/>
      <c r="AJ50" s="1"/>
    </row>
    <row r="51" spans="1:36" x14ac:dyDescent="0.3">
      <c r="A51" t="s">
        <v>27</v>
      </c>
      <c r="B51">
        <v>1.9444915</v>
      </c>
      <c r="C51">
        <v>1.8593972000000001</v>
      </c>
      <c r="D51">
        <v>2.0334802000000001</v>
      </c>
      <c r="E51" s="1">
        <v>1.6371319999999999E-186</v>
      </c>
      <c r="F51" t="str">
        <f t="shared" si="14"/>
        <v>1.94(1.86-2.03)</v>
      </c>
      <c r="G51" t="str">
        <f t="shared" si="15"/>
        <v>&lt;0.001</v>
      </c>
      <c r="J51" t="s">
        <v>27</v>
      </c>
      <c r="K51">
        <v>2.1293565000000001</v>
      </c>
      <c r="L51">
        <v>2.0274749999999999</v>
      </c>
      <c r="M51">
        <v>2.2363575999999998</v>
      </c>
      <c r="N51" s="1">
        <v>1.5244260000000001E-200</v>
      </c>
      <c r="O51" t="str">
        <f t="shared" si="6"/>
        <v>2.13(2.03-2.24)</v>
      </c>
      <c r="P51" t="str">
        <f t="shared" si="16"/>
        <v>&lt;0.001</v>
      </c>
      <c r="S51" t="s">
        <v>27</v>
      </c>
      <c r="T51">
        <v>2.0310888</v>
      </c>
      <c r="U51">
        <v>1.9287135</v>
      </c>
      <c r="V51">
        <v>2.1388980000000002</v>
      </c>
      <c r="W51" s="1">
        <v>0</v>
      </c>
      <c r="X51" t="str">
        <f t="shared" si="7"/>
        <v>2.03(1.93-2.14)</v>
      </c>
      <c r="Y51" t="str">
        <f t="shared" si="11"/>
        <v>&lt;0.001</v>
      </c>
      <c r="AI51" s="1"/>
      <c r="AJ51" s="1"/>
    </row>
    <row r="52" spans="1:36" x14ac:dyDescent="0.3">
      <c r="A52" t="s">
        <v>28</v>
      </c>
      <c r="B52">
        <v>0.32608939999999997</v>
      </c>
      <c r="C52">
        <v>0.317353</v>
      </c>
      <c r="D52">
        <v>0.33506629999999998</v>
      </c>
      <c r="E52" s="1">
        <v>0</v>
      </c>
      <c r="F52" t="str">
        <f t="shared" si="14"/>
        <v>0.33(0.32-0.34)</v>
      </c>
      <c r="G52" t="str">
        <f t="shared" si="15"/>
        <v>&lt;0.001</v>
      </c>
      <c r="J52" t="s">
        <v>28</v>
      </c>
      <c r="K52">
        <v>0.30849159999999998</v>
      </c>
      <c r="L52">
        <v>0.29961529999999997</v>
      </c>
      <c r="M52">
        <v>0.31763089999999999</v>
      </c>
      <c r="N52" s="1">
        <v>0</v>
      </c>
      <c r="O52" t="str">
        <f t="shared" si="6"/>
        <v>0.31(0.3-0.32)</v>
      </c>
      <c r="P52" t="str">
        <f t="shared" si="16"/>
        <v>&lt;0.001</v>
      </c>
      <c r="S52" t="s">
        <v>28</v>
      </c>
      <c r="T52">
        <v>0.33512940000000002</v>
      </c>
      <c r="U52">
        <v>0.32528319999999999</v>
      </c>
      <c r="V52">
        <v>0.34527360000000001</v>
      </c>
      <c r="W52" s="1">
        <v>0</v>
      </c>
      <c r="X52" t="str">
        <f t="shared" si="7"/>
        <v>0.34(0.33-0.35)</v>
      </c>
      <c r="Y52" t="str">
        <f t="shared" si="11"/>
        <v>&lt;0.001</v>
      </c>
      <c r="AI52" s="1"/>
      <c r="AJ52" s="1"/>
    </row>
    <row r="53" spans="1:36" x14ac:dyDescent="0.3">
      <c r="A53" t="s">
        <v>29</v>
      </c>
      <c r="B53">
        <v>1.0031612000000001</v>
      </c>
      <c r="C53">
        <v>0.98161779999999998</v>
      </c>
      <c r="D53">
        <v>1.0251773</v>
      </c>
      <c r="E53" s="1">
        <v>0.77568519999999996</v>
      </c>
      <c r="F53" t="str">
        <f t="shared" si="14"/>
        <v>1(0.98-1.03)</v>
      </c>
      <c r="G53">
        <f t="shared" si="15"/>
        <v>0.77600000000000002</v>
      </c>
      <c r="J53" t="s">
        <v>29</v>
      </c>
      <c r="K53">
        <v>1.0175691</v>
      </c>
      <c r="L53">
        <v>0.99508479999999999</v>
      </c>
      <c r="M53">
        <v>1.0405614999999999</v>
      </c>
      <c r="N53" s="1">
        <v>0.1265753</v>
      </c>
      <c r="O53" t="str">
        <f t="shared" si="6"/>
        <v>1.02(1-1.04)</v>
      </c>
      <c r="P53">
        <f t="shared" si="16"/>
        <v>0.127</v>
      </c>
      <c r="S53" t="s">
        <v>29</v>
      </c>
      <c r="T53">
        <v>1.0442823999999999</v>
      </c>
      <c r="U53">
        <v>1.0193703999999999</v>
      </c>
      <c r="V53">
        <v>1.0698030999999999</v>
      </c>
      <c r="W53" s="1">
        <v>4.357982E-4</v>
      </c>
      <c r="X53" t="str">
        <f t="shared" si="7"/>
        <v>1.04(1.02-1.07)</v>
      </c>
      <c r="Y53" t="str">
        <f t="shared" si="11"/>
        <v>&lt;0.001</v>
      </c>
      <c r="AI53" s="1"/>
      <c r="AJ53" s="1"/>
    </row>
    <row r="54" spans="1:36" x14ac:dyDescent="0.3">
      <c r="A54" t="s">
        <v>30</v>
      </c>
      <c r="B54">
        <v>0.78350589999999998</v>
      </c>
      <c r="C54">
        <v>0.76737770000000005</v>
      </c>
      <c r="D54">
        <v>0.79997300000000005</v>
      </c>
      <c r="E54" s="1">
        <v>5.8231429999999998E-117</v>
      </c>
      <c r="F54" t="str">
        <f t="shared" si="14"/>
        <v>0.78(0.77-0.8)</v>
      </c>
      <c r="G54" t="str">
        <f t="shared" si="15"/>
        <v>&lt;0.001</v>
      </c>
      <c r="J54" t="s">
        <v>30</v>
      </c>
      <c r="K54">
        <v>0.80173510000000003</v>
      </c>
      <c r="L54">
        <v>0.78459880000000004</v>
      </c>
      <c r="M54">
        <v>0.81924569999999997</v>
      </c>
      <c r="N54" s="1">
        <v>2.1915769999999999E-89</v>
      </c>
      <c r="O54" t="str">
        <f t="shared" si="6"/>
        <v>0.8(0.78-0.82)</v>
      </c>
      <c r="P54" t="str">
        <f t="shared" si="16"/>
        <v>&lt;0.001</v>
      </c>
      <c r="S54" t="s">
        <v>30</v>
      </c>
      <c r="T54">
        <v>0.87621199999999999</v>
      </c>
      <c r="U54">
        <v>0.8546916</v>
      </c>
      <c r="V54">
        <v>0.89827429999999997</v>
      </c>
      <c r="W54" s="1">
        <v>0</v>
      </c>
      <c r="X54" t="str">
        <f t="shared" si="7"/>
        <v>0.88(0.85-0.9)</v>
      </c>
      <c r="Y54" t="str">
        <f t="shared" si="11"/>
        <v>&lt;0.001</v>
      </c>
      <c r="AI54" s="1"/>
      <c r="AJ54" s="1"/>
    </row>
    <row r="55" spans="1:36" x14ac:dyDescent="0.3">
      <c r="AI55" s="1"/>
      <c r="AJ55" s="1"/>
    </row>
    <row r="56" spans="1:36" x14ac:dyDescent="0.3">
      <c r="AI56" s="1"/>
      <c r="AJ56" s="1"/>
    </row>
    <row r="57" spans="1:36" x14ac:dyDescent="0.3">
      <c r="A57" t="s">
        <v>38</v>
      </c>
      <c r="J57" t="s">
        <v>43</v>
      </c>
      <c r="AI57" s="1"/>
      <c r="AJ57" s="1"/>
    </row>
    <row r="58" spans="1:36" x14ac:dyDescent="0.3">
      <c r="B58" t="s">
        <v>39</v>
      </c>
      <c r="C58" t="s">
        <v>40</v>
      </c>
      <c r="D58" t="s">
        <v>41</v>
      </c>
      <c r="E58" t="s">
        <v>42</v>
      </c>
      <c r="F58" t="s">
        <v>6</v>
      </c>
      <c r="G58" t="s">
        <v>7</v>
      </c>
      <c r="K58" t="s">
        <v>39</v>
      </c>
      <c r="L58" t="s">
        <v>40</v>
      </c>
      <c r="M58" t="s">
        <v>41</v>
      </c>
      <c r="N58" t="s">
        <v>42</v>
      </c>
      <c r="O58" t="s">
        <v>6</v>
      </c>
      <c r="P58" t="s">
        <v>7</v>
      </c>
    </row>
    <row r="59" spans="1:36" x14ac:dyDescent="0.3">
      <c r="A59" t="s">
        <v>1</v>
      </c>
      <c r="B59">
        <v>0.97860619999999998</v>
      </c>
      <c r="C59">
        <v>0.94807669999999999</v>
      </c>
      <c r="D59">
        <v>1.0101187</v>
      </c>
      <c r="E59" s="1">
        <v>0.18110409999999999</v>
      </c>
      <c r="F59" t="str">
        <f>ROUND(B59,2)&amp;"("&amp;ROUND(C59,2)&amp;"-"&amp;ROUND(D59,2)&amp;")"</f>
        <v>0.98(0.95-1.01)</v>
      </c>
      <c r="G59">
        <f>IF(E59&lt;0.001,"&lt;0.001",ROUND(E59,3))</f>
        <v>0.18099999999999999</v>
      </c>
      <c r="J59" t="s">
        <v>1</v>
      </c>
      <c r="K59">
        <v>0.98326360000000002</v>
      </c>
      <c r="L59">
        <v>0.95134759999999996</v>
      </c>
      <c r="M59">
        <v>1.0162503000000001</v>
      </c>
      <c r="N59" s="1">
        <v>0.31610050000000001</v>
      </c>
      <c r="O59" t="str">
        <f>ROUND(K59,2)&amp;"("&amp;ROUND(L59,2)&amp;"-"&amp;ROUND(M59,2)&amp;")"</f>
        <v>0.98(0.95-1.02)</v>
      </c>
      <c r="P59">
        <f>IF(N59&lt;0.001,"&lt;0.001",ROUND(N59,3))</f>
        <v>0.316</v>
      </c>
    </row>
    <row r="60" spans="1:36" x14ac:dyDescent="0.3">
      <c r="A60" t="s">
        <v>2</v>
      </c>
      <c r="B60">
        <v>0.88542589999999999</v>
      </c>
      <c r="C60">
        <v>0.85432160000000001</v>
      </c>
      <c r="D60">
        <v>0.91766270000000005</v>
      </c>
      <c r="E60" s="1">
        <v>2.5705909999999999E-11</v>
      </c>
      <c r="F60" t="str">
        <f t="shared" ref="F60:F77" si="17">ROUND(B60,2)&amp;"("&amp;ROUND(C60,2)&amp;"-"&amp;ROUND(D60,2)&amp;")"</f>
        <v>0.89(0.85-0.92)</v>
      </c>
      <c r="G60" t="str">
        <f t="shared" ref="G60:G77" si="18">IF(E60&lt;0.001,"&lt;0.001",ROUND(E60,3))</f>
        <v>&lt;0.001</v>
      </c>
      <c r="J60" t="s">
        <v>2</v>
      </c>
      <c r="K60">
        <v>0.8833763</v>
      </c>
      <c r="L60">
        <v>0.85100819999999999</v>
      </c>
      <c r="M60">
        <v>0.91697569999999995</v>
      </c>
      <c r="N60" s="1">
        <v>7.4782769999999996E-11</v>
      </c>
      <c r="O60" t="str">
        <f t="shared" ref="O60:O77" si="19">ROUND(K60,2)&amp;"("&amp;ROUND(L60,2)&amp;"-"&amp;ROUND(M60,2)&amp;")"</f>
        <v>0.88(0.85-0.92)</v>
      </c>
      <c r="P60" t="str">
        <f t="shared" ref="P60:P77" si="20">IF(N60&lt;0.001,"&lt;0.001",ROUND(N60,3))</f>
        <v>&lt;0.001</v>
      </c>
    </row>
    <row r="61" spans="1:36" x14ac:dyDescent="0.3">
      <c r="A61" t="s">
        <v>2</v>
      </c>
      <c r="B61">
        <v>0.90478270000000005</v>
      </c>
      <c r="C61">
        <v>0.87813540000000001</v>
      </c>
      <c r="D61">
        <v>0.93223860000000003</v>
      </c>
      <c r="E61" s="1">
        <v>5.368537E-11</v>
      </c>
      <c r="F61" t="str">
        <f t="shared" si="17"/>
        <v>0.9(0.88-0.93)</v>
      </c>
      <c r="G61" t="str">
        <f t="shared" si="18"/>
        <v>&lt;0.001</v>
      </c>
      <c r="J61" t="s">
        <v>2</v>
      </c>
      <c r="K61">
        <v>0.89841249999999995</v>
      </c>
      <c r="L61">
        <v>0.8708167</v>
      </c>
      <c r="M61">
        <v>0.92688289999999995</v>
      </c>
      <c r="N61" s="1">
        <v>1.6960749999999999E-11</v>
      </c>
      <c r="O61" t="str">
        <f t="shared" si="19"/>
        <v>0.9(0.87-0.93)</v>
      </c>
      <c r="P61" t="str">
        <f t="shared" si="20"/>
        <v>&lt;0.001</v>
      </c>
    </row>
    <row r="62" spans="1:36" x14ac:dyDescent="0.3">
      <c r="A62" t="s">
        <v>9</v>
      </c>
      <c r="B62">
        <v>1.0384382999999999</v>
      </c>
      <c r="C62">
        <v>1.0371243999999999</v>
      </c>
      <c r="D62">
        <v>1.0397539</v>
      </c>
      <c r="E62" s="1">
        <v>0</v>
      </c>
      <c r="F62" t="str">
        <f t="shared" si="17"/>
        <v>1.04(1.04-1.04)</v>
      </c>
      <c r="G62" t="str">
        <f t="shared" si="18"/>
        <v>&lt;0.001</v>
      </c>
      <c r="J62" t="s">
        <v>9</v>
      </c>
      <c r="K62">
        <v>1.0368478999999999</v>
      </c>
      <c r="L62">
        <v>1.0354848999999999</v>
      </c>
      <c r="M62">
        <v>1.0382126</v>
      </c>
      <c r="N62" s="1">
        <v>0</v>
      </c>
      <c r="O62" t="str">
        <f t="shared" si="19"/>
        <v>1.04(1.04-1.04)</v>
      </c>
      <c r="P62" t="str">
        <f t="shared" si="20"/>
        <v>&lt;0.001</v>
      </c>
    </row>
    <row r="63" spans="1:36" x14ac:dyDescent="0.3">
      <c r="A63" t="s">
        <v>10</v>
      </c>
      <c r="B63">
        <v>1.6095238000000001</v>
      </c>
      <c r="C63">
        <v>1.5654688000000001</v>
      </c>
      <c r="D63">
        <v>1.6548186</v>
      </c>
      <c r="E63" s="1">
        <v>1.1371959999999999E-247</v>
      </c>
      <c r="F63" t="str">
        <f t="shared" si="17"/>
        <v>1.61(1.57-1.65)</v>
      </c>
      <c r="G63" t="str">
        <f t="shared" si="18"/>
        <v>&lt;0.001</v>
      </c>
      <c r="J63" t="s">
        <v>10</v>
      </c>
      <c r="K63">
        <v>1.5673128999999999</v>
      </c>
      <c r="L63">
        <v>1.5226108</v>
      </c>
      <c r="M63">
        <v>1.6133272999999999</v>
      </c>
      <c r="N63" s="1">
        <v>1.768183E-203</v>
      </c>
      <c r="O63" t="str">
        <f t="shared" si="19"/>
        <v>1.57(1.52-1.61)</v>
      </c>
      <c r="P63" t="str">
        <f t="shared" si="20"/>
        <v>&lt;0.001</v>
      </c>
    </row>
    <row r="64" spans="1:36" x14ac:dyDescent="0.3">
      <c r="A64" t="s">
        <v>13</v>
      </c>
      <c r="B64">
        <v>1.0009357000000001</v>
      </c>
      <c r="C64">
        <v>1.0002838999999999</v>
      </c>
      <c r="D64">
        <v>1.0015879000000001</v>
      </c>
      <c r="E64" s="1">
        <v>4.890134E-3</v>
      </c>
      <c r="F64" t="str">
        <f t="shared" si="17"/>
        <v>1(1-1)</v>
      </c>
      <c r="G64">
        <f t="shared" si="18"/>
        <v>5.0000000000000001E-3</v>
      </c>
      <c r="J64" t="s">
        <v>13</v>
      </c>
      <c r="K64">
        <v>1.0009927999999999</v>
      </c>
      <c r="L64">
        <v>1.0003135000000001</v>
      </c>
      <c r="M64">
        <v>1.0016725</v>
      </c>
      <c r="N64" s="1">
        <v>4.1713399999999999E-3</v>
      </c>
      <c r="O64" t="str">
        <f t="shared" si="19"/>
        <v>1(1-1)</v>
      </c>
      <c r="P64">
        <f t="shared" si="20"/>
        <v>4.0000000000000001E-3</v>
      </c>
    </row>
    <row r="65" spans="1:19" x14ac:dyDescent="0.3">
      <c r="A65" t="s">
        <v>14</v>
      </c>
      <c r="B65">
        <v>0.9696169</v>
      </c>
      <c r="C65">
        <v>0.96626339999999999</v>
      </c>
      <c r="D65">
        <v>0.97298200000000001</v>
      </c>
      <c r="E65" s="1">
        <v>3.1657230000000001E-68</v>
      </c>
      <c r="F65" t="str">
        <f t="shared" si="17"/>
        <v>0.97(0.97-0.97)</v>
      </c>
      <c r="G65" t="str">
        <f t="shared" si="18"/>
        <v>&lt;0.001</v>
      </c>
      <c r="J65" t="s">
        <v>14</v>
      </c>
      <c r="K65">
        <v>0.9698561</v>
      </c>
      <c r="L65">
        <v>0.96636180000000005</v>
      </c>
      <c r="M65">
        <v>0.97336310000000004</v>
      </c>
      <c r="N65" s="1">
        <v>4.9798850000000003E-62</v>
      </c>
      <c r="O65" t="str">
        <f t="shared" si="19"/>
        <v>0.97(0.97-0.97)</v>
      </c>
      <c r="P65" t="str">
        <f t="shared" si="20"/>
        <v>&lt;0.001</v>
      </c>
    </row>
    <row r="66" spans="1:19" x14ac:dyDescent="0.3">
      <c r="A66" t="s">
        <v>19</v>
      </c>
      <c r="B66">
        <v>1.0932172</v>
      </c>
      <c r="C66">
        <v>1.0665959</v>
      </c>
      <c r="D66">
        <v>1.1205029</v>
      </c>
      <c r="E66" s="1">
        <v>1.3834579999999999E-12</v>
      </c>
      <c r="F66" t="str">
        <f t="shared" si="17"/>
        <v>1.09(1.07-1.12)</v>
      </c>
      <c r="G66" t="str">
        <f t="shared" si="18"/>
        <v>&lt;0.001</v>
      </c>
      <c r="J66" t="s">
        <v>19</v>
      </c>
      <c r="K66">
        <v>1.0895187</v>
      </c>
      <c r="L66">
        <v>1.0619981000000001</v>
      </c>
      <c r="M66">
        <v>1.1177524000000001</v>
      </c>
      <c r="N66" s="1">
        <v>5.093748E-11</v>
      </c>
      <c r="O66" t="str">
        <f>ROUND(K66,2)&amp;"("&amp;ROUND(L66,2)&amp;"-"&amp;ROUND(M66,2)&amp;")"</f>
        <v>1.09(1.06-1.12)</v>
      </c>
      <c r="P66" t="str">
        <f>IF(N66&lt;0.001,"&lt;0.001",ROUND(N66,3))</f>
        <v>&lt;0.001</v>
      </c>
    </row>
    <row r="67" spans="1:19" x14ac:dyDescent="0.3">
      <c r="A67" t="s">
        <v>20</v>
      </c>
      <c r="B67">
        <v>1.2557526999999999</v>
      </c>
      <c r="C67">
        <v>1.2137586</v>
      </c>
      <c r="D67">
        <v>1.2991997</v>
      </c>
      <c r="E67" s="1">
        <v>2.4345970000000001E-39</v>
      </c>
      <c r="F67" t="str">
        <f t="shared" si="17"/>
        <v>1.26(1.21-1.3)</v>
      </c>
      <c r="G67" t="str">
        <f t="shared" si="18"/>
        <v>&lt;0.001</v>
      </c>
      <c r="J67" t="s">
        <v>20</v>
      </c>
      <c r="K67">
        <v>1.2167600999999999</v>
      </c>
      <c r="L67">
        <v>1.1740769</v>
      </c>
      <c r="M67">
        <v>1.2609950000000001</v>
      </c>
      <c r="N67" s="1">
        <v>4.8607979999999996E-27</v>
      </c>
      <c r="O67" t="str">
        <f>ROUND(K67,2)&amp;"("&amp;ROUND(L67,2)&amp;"-"&amp;ROUND(M67,2)&amp;")"</f>
        <v>1.22(1.17-1.26)</v>
      </c>
      <c r="P67" t="str">
        <f>IF(N67&lt;0.001,"&lt;0.001",ROUND(N67,3))</f>
        <v>&lt;0.001</v>
      </c>
    </row>
    <row r="68" spans="1:19" x14ac:dyDescent="0.3">
      <c r="A68" t="s">
        <v>21</v>
      </c>
      <c r="B68">
        <v>1.5031865</v>
      </c>
      <c r="C68">
        <v>1.4589174</v>
      </c>
      <c r="D68">
        <v>1.5487989</v>
      </c>
      <c r="E68" s="1">
        <v>2.4585290000000001E-157</v>
      </c>
      <c r="F68" t="str">
        <f t="shared" si="17"/>
        <v>1.5(1.46-1.55)</v>
      </c>
      <c r="G68" t="str">
        <f t="shared" si="18"/>
        <v>&lt;0.001</v>
      </c>
      <c r="J68" t="s">
        <v>21</v>
      </c>
      <c r="K68">
        <v>1.4575201</v>
      </c>
      <c r="L68">
        <v>1.4129468999999999</v>
      </c>
      <c r="M68">
        <v>1.5034995</v>
      </c>
      <c r="N68" s="1">
        <v>6.2308960000000001E-125</v>
      </c>
      <c r="O68" t="str">
        <f>ROUND(K68,2)&amp;"("&amp;ROUND(L68,2)&amp;"-"&amp;ROUND(M68,2)&amp;")"</f>
        <v>1.46(1.41-1.5)</v>
      </c>
      <c r="P68" t="str">
        <f>IF(N68&lt;0.001,"&lt;0.001",ROUND(N68,3))</f>
        <v>&lt;0.001</v>
      </c>
    </row>
    <row r="69" spans="1:19" x14ac:dyDescent="0.3">
      <c r="A69" t="s">
        <v>22</v>
      </c>
      <c r="B69">
        <v>0.88552649999999999</v>
      </c>
      <c r="C69">
        <v>0.86662859999999997</v>
      </c>
      <c r="D69">
        <v>0.90483650000000004</v>
      </c>
      <c r="E69" s="1">
        <v>2.2972820000000001E-28</v>
      </c>
      <c r="F69" t="str">
        <f t="shared" si="17"/>
        <v>0.89(0.87-0.9)</v>
      </c>
      <c r="G69" t="str">
        <f t="shared" si="18"/>
        <v>&lt;0.001</v>
      </c>
      <c r="J69" t="s">
        <v>22</v>
      </c>
      <c r="K69">
        <v>0.88809709999999997</v>
      </c>
      <c r="L69">
        <v>0.86834960000000005</v>
      </c>
      <c r="M69">
        <v>0.90829369999999998</v>
      </c>
      <c r="N69" s="1">
        <v>4.4666450000000004E-25</v>
      </c>
      <c r="O69" t="str">
        <f>ROUND(K69,2)&amp;"("&amp;ROUND(L69,2)&amp;"-"&amp;ROUND(M69,2)&amp;")"</f>
        <v>0.89(0.87-0.91)</v>
      </c>
      <c r="P69" t="str">
        <f>IF(N69&lt;0.001,"&lt;0.001",ROUND(N69,3))</f>
        <v>&lt;0.001</v>
      </c>
    </row>
    <row r="70" spans="1:19" x14ac:dyDescent="0.3">
      <c r="A70" t="s">
        <v>23</v>
      </c>
      <c r="B70">
        <v>0.75711300000000004</v>
      </c>
      <c r="C70">
        <v>0.7379114</v>
      </c>
      <c r="D70">
        <v>0.77681429999999996</v>
      </c>
      <c r="E70" s="1">
        <v>5.1587E-100</v>
      </c>
      <c r="F70" t="str">
        <f t="shared" si="17"/>
        <v>0.76(0.74-0.78)</v>
      </c>
      <c r="G70" t="str">
        <f t="shared" si="18"/>
        <v>&lt;0.001</v>
      </c>
      <c r="J70" t="s">
        <v>23</v>
      </c>
      <c r="K70">
        <v>0.74634049999999996</v>
      </c>
      <c r="L70">
        <v>0.72698419999999997</v>
      </c>
      <c r="M70">
        <v>0.76621220000000001</v>
      </c>
      <c r="N70" s="1">
        <v>1.4196790000000001E-105</v>
      </c>
      <c r="O70" t="str">
        <f>ROUND(K70,2)&amp;"("&amp;ROUND(L70,2)&amp;"-"&amp;ROUND(M70,2)&amp;")"</f>
        <v>0.75(0.73-0.77)</v>
      </c>
      <c r="P70" t="str">
        <f>IF(N70&lt;0.001,"&lt;0.001",ROUND(N70,3))</f>
        <v>&lt;0.001</v>
      </c>
    </row>
    <row r="71" spans="1:19" x14ac:dyDescent="0.3">
      <c r="A71" t="s">
        <v>44</v>
      </c>
      <c r="B71">
        <v>1.3208067999999999</v>
      </c>
      <c r="C71">
        <v>1.287309</v>
      </c>
      <c r="D71">
        <v>1.3551762999999999</v>
      </c>
      <c r="E71" s="1">
        <v>5.1587E-100</v>
      </c>
      <c r="F71" t="str">
        <f t="shared" si="17"/>
        <v>1.32(1.29-1.36)</v>
      </c>
      <c r="G71" t="str">
        <f t="shared" si="18"/>
        <v>&lt;0.001</v>
      </c>
      <c r="J71" t="s">
        <v>44</v>
      </c>
      <c r="K71">
        <v>1.339871</v>
      </c>
      <c r="L71">
        <v>1.3051215</v>
      </c>
      <c r="M71">
        <v>1.3755457</v>
      </c>
      <c r="N71" s="1">
        <v>1.4196790000000001E-105</v>
      </c>
      <c r="O71" t="str">
        <f>ROUND(K71,2)&amp;"("&amp;ROUND(L71,2)&amp;"-"&amp;ROUND(M71,2)&amp;")"</f>
        <v>1.34(1.31-1.38)</v>
      </c>
      <c r="P71" t="str">
        <f>IF(N71&lt;0.001,"&lt;0.001",ROUND(N71,3))</f>
        <v>&lt;0.001</v>
      </c>
    </row>
    <row r="72" spans="1:19" x14ac:dyDescent="0.3">
      <c r="A72" t="s">
        <v>25</v>
      </c>
      <c r="B72">
        <v>2.1053780999999998</v>
      </c>
      <c r="C72">
        <v>2.0380327</v>
      </c>
      <c r="D72">
        <v>2.1749486999999998</v>
      </c>
      <c r="E72" s="1">
        <v>0</v>
      </c>
      <c r="F72" t="str">
        <f t="shared" si="17"/>
        <v>2.11(2.04-2.17)</v>
      </c>
      <c r="G72" t="str">
        <f t="shared" si="18"/>
        <v>&lt;0.001</v>
      </c>
      <c r="J72" t="s">
        <v>25</v>
      </c>
      <c r="K72">
        <v>2.4181944</v>
      </c>
      <c r="L72">
        <v>2.3323833</v>
      </c>
      <c r="M72">
        <v>2.5071625000000002</v>
      </c>
      <c r="N72" s="1">
        <v>0</v>
      </c>
      <c r="O72" t="str">
        <f>ROUND(K72,2)&amp;"("&amp;ROUND(L72,2)&amp;"-"&amp;ROUND(M72,2)&amp;")"</f>
        <v>2.42(2.33-2.51)</v>
      </c>
      <c r="P72" t="str">
        <f>IF(N72&lt;0.001,"&lt;0.001",ROUND(N72,3))</f>
        <v>&lt;0.001</v>
      </c>
    </row>
    <row r="73" spans="1:19" x14ac:dyDescent="0.3">
      <c r="A73" t="s">
        <v>26</v>
      </c>
      <c r="B73">
        <v>4.4245049999999999</v>
      </c>
      <c r="C73">
        <v>4.2791625</v>
      </c>
      <c r="D73">
        <v>4.5747840000000002</v>
      </c>
      <c r="E73" s="1">
        <v>0</v>
      </c>
      <c r="F73" t="str">
        <f t="shared" si="17"/>
        <v>4.42(4.28-4.57)</v>
      </c>
      <c r="G73" t="str">
        <f t="shared" si="18"/>
        <v>&lt;0.001</v>
      </c>
      <c r="J73" t="s">
        <v>26</v>
      </c>
      <c r="K73">
        <v>5.2179257999999997</v>
      </c>
      <c r="L73">
        <v>5.0292890999999997</v>
      </c>
      <c r="M73">
        <v>5.4136378000000001</v>
      </c>
      <c r="N73" s="1">
        <v>0</v>
      </c>
      <c r="O73" t="str">
        <f>ROUND(K73,2)&amp;"("&amp;ROUND(L73,2)&amp;"-"&amp;ROUND(M73,2)&amp;")"</f>
        <v>5.22(5.03-5.41)</v>
      </c>
      <c r="P73" t="str">
        <f>IF(N73&lt;0.001,"&lt;0.001",ROUND(N73,3))</f>
        <v>&lt;0.001</v>
      </c>
    </row>
    <row r="74" spans="1:19" x14ac:dyDescent="0.3">
      <c r="A74" t="s">
        <v>27</v>
      </c>
      <c r="B74">
        <v>1.9426553</v>
      </c>
      <c r="C74">
        <v>1.857637</v>
      </c>
      <c r="D74">
        <v>2.0315647000000001</v>
      </c>
      <c r="E74" s="1">
        <v>5.7176170000000003E-186</v>
      </c>
      <c r="F74" t="str">
        <f t="shared" si="17"/>
        <v>1.94(1.86-2.03)</v>
      </c>
      <c r="G74" t="str">
        <f t="shared" si="18"/>
        <v>&lt;0.001</v>
      </c>
      <c r="J74" t="s">
        <v>27</v>
      </c>
      <c r="K74">
        <v>2.1273048000000001</v>
      </c>
      <c r="L74">
        <v>2.0255158999999998</v>
      </c>
      <c r="M74">
        <v>2.2342089000000001</v>
      </c>
      <c r="N74" s="1">
        <v>5.1417760000000002E-200</v>
      </c>
      <c r="O74" t="str">
        <f>ROUND(K74,2)&amp;"("&amp;ROUND(L74,2)&amp;"-"&amp;ROUND(M74,2)&amp;")"</f>
        <v>2.13(2.03-2.23)</v>
      </c>
      <c r="P74" t="str">
        <f>IF(N74&lt;0.001,"&lt;0.001",ROUND(N74,3))</f>
        <v>&lt;0.001</v>
      </c>
    </row>
    <row r="75" spans="1:19" x14ac:dyDescent="0.3">
      <c r="A75" t="s">
        <v>28</v>
      </c>
      <c r="B75">
        <v>0.32400240000000002</v>
      </c>
      <c r="C75">
        <v>0.31532749999999998</v>
      </c>
      <c r="D75">
        <v>0.33291599999999999</v>
      </c>
      <c r="E75" s="1">
        <v>0</v>
      </c>
      <c r="F75" t="str">
        <f t="shared" si="17"/>
        <v>0.32(0.32-0.33)</v>
      </c>
      <c r="G75" t="str">
        <f t="shared" si="18"/>
        <v>&lt;0.001</v>
      </c>
      <c r="J75" t="s">
        <v>28</v>
      </c>
      <c r="K75">
        <v>0.30655250000000001</v>
      </c>
      <c r="L75">
        <v>0.29773709999999998</v>
      </c>
      <c r="M75">
        <v>0.31562879999999999</v>
      </c>
      <c r="N75" s="1">
        <v>0</v>
      </c>
      <c r="O75" t="str">
        <f>ROUND(K75,2)&amp;"("&amp;ROUND(L75,2)&amp;"-"&amp;ROUND(M75,2)&amp;")"</f>
        <v>0.31(0.3-0.32)</v>
      </c>
      <c r="P75" t="str">
        <f>IF(N75&lt;0.001,"&lt;0.001",ROUND(N75,3))</f>
        <v>&lt;0.001</v>
      </c>
    </row>
    <row r="76" spans="1:19" x14ac:dyDescent="0.3">
      <c r="A76" t="s">
        <v>29</v>
      </c>
      <c r="B76">
        <v>0.99969169999999996</v>
      </c>
      <c r="C76">
        <v>0.97822759999999997</v>
      </c>
      <c r="D76">
        <v>1.0216267999999999</v>
      </c>
      <c r="E76" s="1">
        <v>0.97778529999999997</v>
      </c>
      <c r="F76" t="str">
        <f t="shared" si="17"/>
        <v>1(0.98-1.02)</v>
      </c>
      <c r="G76">
        <f t="shared" si="18"/>
        <v>0.97799999999999998</v>
      </c>
      <c r="J76" t="s">
        <v>29</v>
      </c>
      <c r="K76">
        <v>1.0140207999999999</v>
      </c>
      <c r="L76">
        <v>0.99162030000000001</v>
      </c>
      <c r="M76">
        <v>1.0369273999999999</v>
      </c>
      <c r="N76" s="1">
        <v>0.22184429999999999</v>
      </c>
      <c r="O76" t="str">
        <f>ROUND(K76,2)&amp;"("&amp;ROUND(L76,2)&amp;"-"&amp;ROUND(M76,2)&amp;")"</f>
        <v>1.01(0.99-1.04)</v>
      </c>
      <c r="P76">
        <f>IF(N76&lt;0.001,"&lt;0.001",ROUND(N76,3))</f>
        <v>0.222</v>
      </c>
    </row>
    <row r="77" spans="1:19" x14ac:dyDescent="0.3">
      <c r="A77" t="s">
        <v>30</v>
      </c>
      <c r="B77">
        <v>0.78212130000000002</v>
      </c>
      <c r="C77">
        <v>0.76601779999999997</v>
      </c>
      <c r="D77">
        <v>0.79856340000000003</v>
      </c>
      <c r="E77" s="1">
        <v>1.408273E-118</v>
      </c>
      <c r="F77" t="str">
        <f t="shared" si="17"/>
        <v>0.78(0.77-0.8)</v>
      </c>
      <c r="G77" t="str">
        <f t="shared" si="18"/>
        <v>&lt;0.001</v>
      </c>
      <c r="J77" t="s">
        <v>30</v>
      </c>
      <c r="K77">
        <v>0.8002129</v>
      </c>
      <c r="L77">
        <v>0.78310610000000003</v>
      </c>
      <c r="M77">
        <v>0.81769329999999996</v>
      </c>
      <c r="N77" s="1">
        <v>7.2649759999999997E-91</v>
      </c>
      <c r="O77" t="str">
        <f>ROUND(K77,2)&amp;"("&amp;ROUND(L77,2)&amp;"-"&amp;ROUND(M77,2)&amp;")"</f>
        <v>0.8(0.78-0.82)</v>
      </c>
      <c r="P77" t="str">
        <f>IF(N77&lt;0.001,"&lt;0.001",ROUND(N77,3))</f>
        <v>&lt;0.001</v>
      </c>
    </row>
    <row r="78" spans="1:19" x14ac:dyDescent="0.3">
      <c r="F78" s="1"/>
    </row>
    <row r="79" spans="1:19" x14ac:dyDescent="0.3">
      <c r="F79" s="1"/>
      <c r="O79" s="1"/>
    </row>
    <row r="80" spans="1:19" x14ac:dyDescent="0.3">
      <c r="A80" t="s">
        <v>45</v>
      </c>
      <c r="J80" t="s">
        <v>46</v>
      </c>
      <c r="O80" s="1"/>
      <c r="S80" t="s">
        <v>47</v>
      </c>
    </row>
    <row r="81" spans="1:33" x14ac:dyDescent="0.3">
      <c r="B81" t="s">
        <v>3</v>
      </c>
      <c r="C81" t="s">
        <v>4</v>
      </c>
      <c r="D81" t="s">
        <v>5</v>
      </c>
      <c r="E81" t="s">
        <v>8</v>
      </c>
      <c r="F81" t="s">
        <v>6</v>
      </c>
      <c r="G81" t="s">
        <v>7</v>
      </c>
      <c r="K81" t="s">
        <v>3</v>
      </c>
      <c r="L81" t="s">
        <v>4</v>
      </c>
      <c r="M81" t="s">
        <v>5</v>
      </c>
      <c r="N81" t="s">
        <v>8</v>
      </c>
      <c r="O81" t="s">
        <v>6</v>
      </c>
      <c r="P81" t="s">
        <v>7</v>
      </c>
      <c r="T81" t="s">
        <v>3</v>
      </c>
      <c r="U81" t="s">
        <v>4</v>
      </c>
      <c r="V81" t="s">
        <v>5</v>
      </c>
      <c r="W81" t="s">
        <v>8</v>
      </c>
      <c r="X81" t="s">
        <v>6</v>
      </c>
      <c r="Y81" t="s">
        <v>7</v>
      </c>
    </row>
    <row r="82" spans="1:33" x14ac:dyDescent="0.3">
      <c r="A82" t="s">
        <v>48</v>
      </c>
      <c r="B82">
        <v>0.74143519999999996</v>
      </c>
      <c r="C82">
        <v>0.71470120000000004</v>
      </c>
      <c r="D82">
        <v>0.7691692</v>
      </c>
      <c r="E82" s="1">
        <v>2.1710750000000001E-57</v>
      </c>
      <c r="F82" t="str">
        <f>ROUND(B82,2)&amp;"("&amp;ROUND(C82,2)&amp;"-"&amp;ROUND(D82,2)&amp;")"</f>
        <v>0.74(0.71-0.77)</v>
      </c>
      <c r="G82" t="str">
        <f>IF(E82&lt;0.001,"&lt;0.001",ROUND(E82,3))</f>
        <v>&lt;0.001</v>
      </c>
      <c r="J82" t="s">
        <v>48</v>
      </c>
      <c r="K82">
        <v>0.74739929999999999</v>
      </c>
      <c r="L82">
        <v>0.71940119999999996</v>
      </c>
      <c r="M82">
        <v>0.77648700000000004</v>
      </c>
      <c r="N82" s="1">
        <v>1.647071E-50</v>
      </c>
      <c r="O82" t="str">
        <f>ROUND(K82,2)&amp;"("&amp;ROUND(L82,2)&amp;"-"&amp;ROUND(M82,2)&amp;")"</f>
        <v>0.75(0.72-0.78)</v>
      </c>
      <c r="P82" t="str">
        <f>IF(N82&lt;0.001,"&lt;0.001",ROUND(N82,3))</f>
        <v>&lt;0.001</v>
      </c>
      <c r="S82" t="s">
        <v>48</v>
      </c>
      <c r="T82">
        <v>0.75839369999999995</v>
      </c>
      <c r="U82">
        <v>0.73032450000000004</v>
      </c>
      <c r="V82">
        <v>0.78754179999999996</v>
      </c>
      <c r="W82">
        <v>0</v>
      </c>
      <c r="X82" t="str">
        <f>ROUND(T82,2)&amp;"("&amp;ROUND(U82,2)&amp;"-"&amp;ROUND(V82,2)&amp;")"</f>
        <v>0.76(0.73-0.79)</v>
      </c>
      <c r="Y82" t="str">
        <f>IF(W82&lt;0.001,"&lt;0.001",ROUND(W82,3))</f>
        <v>&lt;0.001</v>
      </c>
    </row>
    <row r="83" spans="1:33" x14ac:dyDescent="0.3">
      <c r="A83" t="s">
        <v>9</v>
      </c>
      <c r="B83">
        <v>1.042521</v>
      </c>
      <c r="C83">
        <v>1.0409079999999999</v>
      </c>
      <c r="D83">
        <v>1.0441370000000001</v>
      </c>
      <c r="E83">
        <v>0</v>
      </c>
      <c r="F83" t="str">
        <f t="shared" ref="F83:F103" si="21">ROUND(B83,2)&amp;"("&amp;ROUND(C83,2)&amp;"-"&amp;ROUND(D83,2)&amp;")"</f>
        <v>1.04(1.04-1.04)</v>
      </c>
      <c r="G83" t="str">
        <f t="shared" ref="G83:G103" si="22">IF(E83&lt;0.001,"&lt;0.001",ROUND(E83,3))</f>
        <v>&lt;0.001</v>
      </c>
      <c r="J83" t="s">
        <v>9</v>
      </c>
      <c r="K83">
        <v>1.0400499999999999</v>
      </c>
      <c r="L83">
        <v>1.0383800000000001</v>
      </c>
      <c r="M83">
        <v>1.041723</v>
      </c>
      <c r="N83">
        <v>0</v>
      </c>
      <c r="O83" t="str">
        <f t="shared" ref="O83:O103" si="23">ROUND(K83,2)&amp;"("&amp;ROUND(L83,2)&amp;"-"&amp;ROUND(M83,2)&amp;")"</f>
        <v>1.04(1.04-1.04)</v>
      </c>
      <c r="P83" t="str">
        <f t="shared" ref="P83:P103" si="24">IF(N83&lt;0.001,"&lt;0.001",ROUND(N83,3))</f>
        <v>&lt;0.001</v>
      </c>
      <c r="S83" t="s">
        <v>9</v>
      </c>
      <c r="T83">
        <v>1.0365949999999999</v>
      </c>
      <c r="U83">
        <v>1.0349299999999999</v>
      </c>
      <c r="V83">
        <v>1.0382629999999999</v>
      </c>
      <c r="W83">
        <v>0</v>
      </c>
      <c r="X83" t="str">
        <f t="shared" ref="X83:X103" si="25">ROUND(T83,2)&amp;"("&amp;ROUND(U83,2)&amp;"-"&amp;ROUND(V83,2)&amp;")"</f>
        <v>1.04(1.03-1.04)</v>
      </c>
      <c r="Y83" t="str">
        <f t="shared" ref="Y83:Y103" si="26">IF(W83&lt;0.001,"&lt;0.001",ROUND(W83,3))</f>
        <v>&lt;0.001</v>
      </c>
    </row>
    <row r="84" spans="1:33" x14ac:dyDescent="0.3">
      <c r="A84" t="s">
        <v>10</v>
      </c>
      <c r="B84">
        <v>1.2831250000000001</v>
      </c>
      <c r="C84">
        <v>1.205767</v>
      </c>
      <c r="D84">
        <v>1.3654459999999999</v>
      </c>
      <c r="E84" s="1">
        <v>3.9108540000000001E-15</v>
      </c>
      <c r="F84" t="str">
        <f t="shared" si="21"/>
        <v>1.28(1.21-1.37)</v>
      </c>
      <c r="G84" t="str">
        <f t="shared" si="22"/>
        <v>&lt;0.001</v>
      </c>
      <c r="J84" t="s">
        <v>10</v>
      </c>
      <c r="K84">
        <v>1.268885</v>
      </c>
      <c r="L84">
        <v>1.189595</v>
      </c>
      <c r="M84">
        <v>1.3534600000000001</v>
      </c>
      <c r="N84" s="1">
        <v>4.7090859999999996E-13</v>
      </c>
      <c r="O84" t="str">
        <f t="shared" si="23"/>
        <v>1.27(1.19-1.35)</v>
      </c>
      <c r="P84" t="str">
        <f t="shared" si="24"/>
        <v>&lt;0.001</v>
      </c>
      <c r="S84" t="s">
        <v>10</v>
      </c>
      <c r="T84">
        <v>1.2552779999999999</v>
      </c>
      <c r="U84">
        <v>1.1782349999999999</v>
      </c>
      <c r="V84">
        <v>1.3373600000000001</v>
      </c>
      <c r="W84" s="1">
        <v>1.9875210000000002E-12</v>
      </c>
      <c r="X84" t="str">
        <f t="shared" si="25"/>
        <v>1.26(1.18-1.34)</v>
      </c>
      <c r="Y84" t="str">
        <f t="shared" si="26"/>
        <v>&lt;0.001</v>
      </c>
    </row>
    <row r="85" spans="1:33" x14ac:dyDescent="0.3">
      <c r="A85" t="s">
        <v>49</v>
      </c>
      <c r="B85">
        <v>1.2737560000000001</v>
      </c>
      <c r="C85">
        <v>1.245816</v>
      </c>
      <c r="D85">
        <v>1.302324</v>
      </c>
      <c r="E85" s="1">
        <v>1.9556519999999998E-101</v>
      </c>
      <c r="F85" t="str">
        <f t="shared" si="21"/>
        <v>1.27(1.25-1.3)</v>
      </c>
      <c r="G85" t="str">
        <f t="shared" si="22"/>
        <v>&lt;0.001</v>
      </c>
      <c r="J85" t="s">
        <v>49</v>
      </c>
      <c r="K85">
        <v>1.28484</v>
      </c>
      <c r="L85">
        <v>1.255484</v>
      </c>
      <c r="M85">
        <v>1.314883</v>
      </c>
      <c r="N85" s="1">
        <v>3.0753680000000001E-100</v>
      </c>
      <c r="O85" t="str">
        <f t="shared" si="23"/>
        <v>1.28(1.26-1.31)</v>
      </c>
      <c r="P85" t="str">
        <f t="shared" si="24"/>
        <v>&lt;0.001</v>
      </c>
      <c r="S85" t="s">
        <v>49</v>
      </c>
      <c r="T85">
        <v>1.2710619999999999</v>
      </c>
      <c r="U85">
        <v>1.2420519999999999</v>
      </c>
      <c r="V85">
        <v>1.3007489999999999</v>
      </c>
      <c r="W85">
        <v>0</v>
      </c>
      <c r="X85" t="str">
        <f t="shared" si="25"/>
        <v>1.27(1.24-1.3)</v>
      </c>
      <c r="Y85" t="str">
        <f t="shared" si="26"/>
        <v>&lt;0.001</v>
      </c>
    </row>
    <row r="86" spans="1:33" x14ac:dyDescent="0.3">
      <c r="A86" t="s">
        <v>13</v>
      </c>
      <c r="B86">
        <v>1.003471</v>
      </c>
      <c r="C86">
        <v>1.0029749999999999</v>
      </c>
      <c r="D86">
        <v>1.0039670000000001</v>
      </c>
      <c r="E86" s="1">
        <v>6.2412499999999998E-43</v>
      </c>
      <c r="F86" t="str">
        <f t="shared" si="21"/>
        <v>1(1-1)</v>
      </c>
      <c r="G86" t="str">
        <f t="shared" si="22"/>
        <v>&lt;0.001</v>
      </c>
      <c r="J86" t="s">
        <v>13</v>
      </c>
      <c r="K86">
        <v>1.003366</v>
      </c>
      <c r="L86">
        <v>1.0028490000000001</v>
      </c>
      <c r="M86">
        <v>1.003884</v>
      </c>
      <c r="N86" s="1">
        <v>2.3342840000000001E-37</v>
      </c>
      <c r="O86" t="str">
        <f t="shared" si="23"/>
        <v>1(1-1)</v>
      </c>
      <c r="P86" t="str">
        <f t="shared" si="24"/>
        <v>&lt;0.001</v>
      </c>
      <c r="S86" t="s">
        <v>13</v>
      </c>
      <c r="T86">
        <v>1.00319</v>
      </c>
      <c r="U86">
        <v>1.002675</v>
      </c>
      <c r="V86">
        <v>1.003706</v>
      </c>
      <c r="W86">
        <v>0</v>
      </c>
      <c r="X86" t="str">
        <f t="shared" si="25"/>
        <v>1(1-1)</v>
      </c>
      <c r="Y86" t="str">
        <f t="shared" si="26"/>
        <v>&lt;0.001</v>
      </c>
    </row>
    <row r="87" spans="1:33" x14ac:dyDescent="0.3">
      <c r="A87" t="s">
        <v>14</v>
      </c>
      <c r="B87">
        <v>0.94556090000000004</v>
      </c>
      <c r="C87">
        <v>0.94138659999999996</v>
      </c>
      <c r="D87">
        <v>0.94975370000000003</v>
      </c>
      <c r="E87" s="1">
        <v>9.5938300000000007E-136</v>
      </c>
      <c r="F87" t="str">
        <f t="shared" si="21"/>
        <v>0.95(0.94-0.95)</v>
      </c>
      <c r="G87" t="str">
        <f t="shared" si="22"/>
        <v>&lt;0.001</v>
      </c>
      <c r="J87" t="s">
        <v>14</v>
      </c>
      <c r="K87">
        <v>0.9466561</v>
      </c>
      <c r="L87">
        <v>0.94230930000000002</v>
      </c>
      <c r="M87">
        <v>0.9510229</v>
      </c>
      <c r="N87" s="1">
        <v>1.518592E-120</v>
      </c>
      <c r="O87" t="str">
        <f t="shared" si="23"/>
        <v>0.95(0.94-0.95)</v>
      </c>
      <c r="P87" t="str">
        <f t="shared" si="24"/>
        <v>&lt;0.001</v>
      </c>
      <c r="S87" t="s">
        <v>14</v>
      </c>
      <c r="T87">
        <v>0.95061569999999995</v>
      </c>
      <c r="U87">
        <v>0.94624169999999996</v>
      </c>
      <c r="V87">
        <v>0.95500989999999997</v>
      </c>
      <c r="W87">
        <v>0</v>
      </c>
      <c r="X87" t="str">
        <f t="shared" si="25"/>
        <v>0.95(0.95-0.96)</v>
      </c>
      <c r="Y87" t="str">
        <f t="shared" si="26"/>
        <v>&lt;0.001</v>
      </c>
    </row>
    <row r="88" spans="1:33" x14ac:dyDescent="0.3">
      <c r="A88" t="s">
        <v>15</v>
      </c>
      <c r="B88">
        <v>0.95199599999999995</v>
      </c>
      <c r="C88">
        <v>0.9160876</v>
      </c>
      <c r="D88">
        <v>0.98931190000000002</v>
      </c>
      <c r="E88" s="1">
        <v>1.2150920000000001E-2</v>
      </c>
      <c r="F88" t="str">
        <f t="shared" si="21"/>
        <v>0.95(0.92-0.99)</v>
      </c>
      <c r="G88">
        <f t="shared" si="22"/>
        <v>1.2E-2</v>
      </c>
      <c r="J88" t="s">
        <v>15</v>
      </c>
      <c r="K88">
        <v>0.95515749999999999</v>
      </c>
      <c r="L88">
        <v>0.91776570000000002</v>
      </c>
      <c r="M88">
        <v>0.99407270000000003</v>
      </c>
      <c r="N88" s="1">
        <v>2.4338700000000001E-2</v>
      </c>
      <c r="O88" t="str">
        <f t="shared" si="23"/>
        <v>0.96(0.92-0.99)</v>
      </c>
      <c r="P88">
        <f t="shared" si="24"/>
        <v>2.4E-2</v>
      </c>
      <c r="S88" t="s">
        <v>15</v>
      </c>
      <c r="T88">
        <v>0.96196700000000002</v>
      </c>
      <c r="U88">
        <v>0.92436470000000004</v>
      </c>
      <c r="V88">
        <v>1.0010988999999999</v>
      </c>
      <c r="W88" s="1">
        <v>5.6648539999999997E-2</v>
      </c>
      <c r="X88" t="str">
        <f t="shared" si="25"/>
        <v>0.96(0.92-1)</v>
      </c>
      <c r="Y88">
        <f t="shared" si="26"/>
        <v>5.7000000000000002E-2</v>
      </c>
    </row>
    <row r="89" spans="1:33" x14ac:dyDescent="0.3">
      <c r="A89" t="s">
        <v>16</v>
      </c>
      <c r="B89">
        <v>0.9450539</v>
      </c>
      <c r="C89">
        <v>0.9109313</v>
      </c>
      <c r="D89">
        <v>0.98045479999999996</v>
      </c>
      <c r="E89" s="1">
        <v>2.5955190000000001E-3</v>
      </c>
      <c r="F89" t="str">
        <f t="shared" si="21"/>
        <v>0.95(0.91-0.98)</v>
      </c>
      <c r="G89">
        <f t="shared" si="22"/>
        <v>3.0000000000000001E-3</v>
      </c>
      <c r="J89" t="s">
        <v>16</v>
      </c>
      <c r="K89">
        <v>0.94509829999999995</v>
      </c>
      <c r="L89">
        <v>0.90964409999999996</v>
      </c>
      <c r="M89">
        <v>0.98193419999999998</v>
      </c>
      <c r="N89" s="1">
        <v>3.7977559999999998E-3</v>
      </c>
      <c r="O89" t="str">
        <f t="shared" si="23"/>
        <v>0.95(0.91-0.98)</v>
      </c>
      <c r="P89">
        <f t="shared" si="24"/>
        <v>4.0000000000000001E-3</v>
      </c>
      <c r="S89" t="s">
        <v>16</v>
      </c>
      <c r="T89">
        <v>0.9517873</v>
      </c>
      <c r="U89">
        <v>0.91609949999999996</v>
      </c>
      <c r="V89">
        <v>0.98886540000000001</v>
      </c>
      <c r="W89" s="1">
        <v>1.1268520000000001E-2</v>
      </c>
      <c r="X89" t="str">
        <f t="shared" si="25"/>
        <v>0.95(0.92-0.99)</v>
      </c>
      <c r="Y89">
        <f t="shared" si="26"/>
        <v>1.0999999999999999E-2</v>
      </c>
    </row>
    <row r="90" spans="1:33" x14ac:dyDescent="0.3">
      <c r="A90" t="s">
        <v>17</v>
      </c>
      <c r="B90">
        <v>0.92878159999999998</v>
      </c>
      <c r="C90">
        <v>0.89779600000000004</v>
      </c>
      <c r="D90">
        <v>0.96083660000000004</v>
      </c>
      <c r="E90" s="1">
        <v>1.9752E-5</v>
      </c>
      <c r="F90" t="str">
        <f t="shared" si="21"/>
        <v>0.93(0.9-0.96)</v>
      </c>
      <c r="G90" t="str">
        <f t="shared" si="22"/>
        <v>&lt;0.001</v>
      </c>
      <c r="J90" t="s">
        <v>17</v>
      </c>
      <c r="K90">
        <v>0.92671809999999999</v>
      </c>
      <c r="L90">
        <v>0.89457319999999996</v>
      </c>
      <c r="M90">
        <v>0.96001800000000004</v>
      </c>
      <c r="N90" s="1">
        <v>2.38605E-5</v>
      </c>
      <c r="O90" t="str">
        <f t="shared" si="23"/>
        <v>0.93(0.89-0.96)</v>
      </c>
      <c r="P90" t="str">
        <f t="shared" si="24"/>
        <v>&lt;0.001</v>
      </c>
      <c r="S90" t="s">
        <v>17</v>
      </c>
      <c r="T90">
        <v>0.93028719999999998</v>
      </c>
      <c r="U90">
        <v>0.89803310000000003</v>
      </c>
      <c r="V90">
        <v>0.96369959999999999</v>
      </c>
      <c r="W90" s="1">
        <v>5.9741100000000003E-5</v>
      </c>
      <c r="X90" t="str">
        <f t="shared" si="25"/>
        <v>0.93(0.9-0.96)</v>
      </c>
      <c r="Y90" t="str">
        <f t="shared" si="26"/>
        <v>&lt;0.001</v>
      </c>
    </row>
    <row r="91" spans="1:33" x14ac:dyDescent="0.3">
      <c r="A91" t="s">
        <v>18</v>
      </c>
      <c r="B91">
        <v>0.88386229999999999</v>
      </c>
      <c r="C91">
        <v>0.85605710000000002</v>
      </c>
      <c r="D91">
        <v>0.91257060000000001</v>
      </c>
      <c r="E91" s="1">
        <v>3.7353869999999997E-14</v>
      </c>
      <c r="F91" t="str">
        <f t="shared" si="21"/>
        <v>0.88(0.86-0.91)</v>
      </c>
      <c r="G91" t="str">
        <f t="shared" si="22"/>
        <v>&lt;0.001</v>
      </c>
      <c r="J91" t="s">
        <v>18</v>
      </c>
      <c r="K91">
        <v>0.87515529999999997</v>
      </c>
      <c r="L91">
        <v>0.84648380000000001</v>
      </c>
      <c r="M91">
        <v>0.90479799999999999</v>
      </c>
      <c r="N91" s="1">
        <v>4.278533E-15</v>
      </c>
      <c r="O91" t="str">
        <f t="shared" si="23"/>
        <v>0.88(0.85-0.9)</v>
      </c>
      <c r="P91" t="str">
        <f t="shared" si="24"/>
        <v>&lt;0.001</v>
      </c>
      <c r="S91" t="s">
        <v>18</v>
      </c>
      <c r="T91">
        <v>0.88073939999999995</v>
      </c>
      <c r="U91">
        <v>0.85177119999999995</v>
      </c>
      <c r="V91">
        <v>0.91069270000000002</v>
      </c>
      <c r="W91" s="1">
        <v>9.8809849999999999E-14</v>
      </c>
      <c r="X91" t="str">
        <f t="shared" si="25"/>
        <v>0.88(0.85-0.91)</v>
      </c>
      <c r="Y91" t="str">
        <f t="shared" si="26"/>
        <v>&lt;0.001</v>
      </c>
    </row>
    <row r="92" spans="1:33" x14ac:dyDescent="0.3">
      <c r="A92" t="s">
        <v>50</v>
      </c>
      <c r="B92">
        <v>1.159672</v>
      </c>
      <c r="C92">
        <v>1.1244670000000001</v>
      </c>
      <c r="D92">
        <v>1.19598</v>
      </c>
      <c r="E92" s="1">
        <v>4.5979949999999998E-21</v>
      </c>
      <c r="F92" t="str">
        <f t="shared" si="21"/>
        <v>1.16(1.12-1.2)</v>
      </c>
      <c r="G92" t="str">
        <f t="shared" si="22"/>
        <v>&lt;0.001</v>
      </c>
      <c r="J92" t="s">
        <v>50</v>
      </c>
      <c r="K92">
        <v>1.14927</v>
      </c>
      <c r="L92">
        <v>1.1131249999999999</v>
      </c>
      <c r="M92">
        <v>1.18659</v>
      </c>
      <c r="N92" s="1">
        <v>1.4253549999999999E-17</v>
      </c>
      <c r="O92" t="str">
        <f t="shared" si="23"/>
        <v>1.15(1.11-1.19)</v>
      </c>
      <c r="P92" t="str">
        <f t="shared" si="24"/>
        <v>&lt;0.001</v>
      </c>
      <c r="S92" t="s">
        <v>50</v>
      </c>
      <c r="T92">
        <v>1.1384380000000001</v>
      </c>
      <c r="U92" s="1">
        <v>1.103448</v>
      </c>
      <c r="V92" s="1">
        <v>1.174539</v>
      </c>
      <c r="W92" s="1">
        <v>4.4408919999999998E-16</v>
      </c>
      <c r="X92" t="str">
        <f t="shared" si="25"/>
        <v>1.14(1.1-1.17)</v>
      </c>
      <c r="Y92" t="str">
        <f t="shared" si="26"/>
        <v>&lt;0.001</v>
      </c>
      <c r="AC92" s="1"/>
      <c r="AD92" s="1"/>
    </row>
    <row r="93" spans="1:33" x14ac:dyDescent="0.3">
      <c r="A93" t="s">
        <v>20</v>
      </c>
      <c r="B93">
        <v>1.345523</v>
      </c>
      <c r="C93">
        <v>1.2903579999999999</v>
      </c>
      <c r="D93">
        <v>1.403046</v>
      </c>
      <c r="E93" s="1">
        <v>6.8000210000000004E-44</v>
      </c>
      <c r="F93" t="str">
        <f t="shared" si="21"/>
        <v>1.35(1.29-1.4)</v>
      </c>
      <c r="G93" t="str">
        <f t="shared" si="22"/>
        <v>&lt;0.001</v>
      </c>
      <c r="J93" t="s">
        <v>20</v>
      </c>
      <c r="K93">
        <v>1.2805899999999999</v>
      </c>
      <c r="L93">
        <v>1.2255549999999999</v>
      </c>
      <c r="M93">
        <v>1.338098</v>
      </c>
      <c r="N93" s="1">
        <v>2.591963E-28</v>
      </c>
      <c r="O93" t="str">
        <f t="shared" si="23"/>
        <v>1.28(1.23-1.34)</v>
      </c>
      <c r="P93" t="str">
        <f t="shared" si="24"/>
        <v>&lt;0.001</v>
      </c>
      <c r="S93" t="s">
        <v>20</v>
      </c>
      <c r="T93">
        <v>1.237528</v>
      </c>
      <c r="U93" s="1">
        <v>1.1843300000000001</v>
      </c>
      <c r="V93" s="1">
        <v>1.2931159999999999</v>
      </c>
      <c r="W93" s="1">
        <v>0</v>
      </c>
      <c r="X93" t="str">
        <f t="shared" si="25"/>
        <v>1.24(1.18-1.29)</v>
      </c>
      <c r="Y93" t="str">
        <f t="shared" si="26"/>
        <v>&lt;0.001</v>
      </c>
      <c r="AC93" s="1"/>
      <c r="AD93" s="1"/>
      <c r="AF93" s="1"/>
      <c r="AG93" s="1"/>
    </row>
    <row r="94" spans="1:33" x14ac:dyDescent="0.3">
      <c r="A94" t="s">
        <v>21</v>
      </c>
      <c r="B94">
        <v>1.9234340000000001</v>
      </c>
      <c r="C94">
        <v>1.852481</v>
      </c>
      <c r="D94">
        <v>1.997104</v>
      </c>
      <c r="E94" s="1">
        <v>5.3668499999999999E-255</v>
      </c>
      <c r="F94" t="str">
        <f t="shared" si="21"/>
        <v>1.92(1.85-2)</v>
      </c>
      <c r="G94" t="str">
        <f t="shared" si="22"/>
        <v>&lt;0.001</v>
      </c>
      <c r="J94" t="s">
        <v>21</v>
      </c>
      <c r="K94">
        <v>1.8818170000000001</v>
      </c>
      <c r="L94">
        <v>1.8097559999999999</v>
      </c>
      <c r="M94">
        <v>1.9567479999999999</v>
      </c>
      <c r="N94" s="1">
        <v>4.9601769999999999E-221</v>
      </c>
      <c r="O94" t="str">
        <f t="shared" si="23"/>
        <v>1.88(1.81-1.96)</v>
      </c>
      <c r="P94" t="str">
        <f t="shared" si="24"/>
        <v>&lt;0.001</v>
      </c>
      <c r="S94" t="s">
        <v>21</v>
      </c>
      <c r="T94">
        <v>1.78339</v>
      </c>
      <c r="U94">
        <v>1.713425</v>
      </c>
      <c r="V94">
        <v>1.856212</v>
      </c>
      <c r="W94" s="1">
        <v>0</v>
      </c>
      <c r="X94" t="str">
        <f t="shared" si="25"/>
        <v>1.78(1.71-1.86)</v>
      </c>
      <c r="Y94" t="str">
        <f t="shared" si="26"/>
        <v>&lt;0.001</v>
      </c>
      <c r="AC94" s="1"/>
      <c r="AD94" s="1"/>
      <c r="AF94" s="1"/>
      <c r="AG94" s="1"/>
    </row>
    <row r="95" spans="1:33" x14ac:dyDescent="0.3">
      <c r="A95" t="s">
        <v>22</v>
      </c>
      <c r="B95">
        <v>0.8520913</v>
      </c>
      <c r="C95">
        <v>0.82990560000000002</v>
      </c>
      <c r="D95">
        <v>0.87487000000000004</v>
      </c>
      <c r="E95" s="1">
        <v>1.311766E-32</v>
      </c>
      <c r="F95" t="str">
        <f t="shared" si="21"/>
        <v>0.85(0.83-0.87)</v>
      </c>
      <c r="G95" t="str">
        <f t="shared" si="22"/>
        <v>&lt;0.001</v>
      </c>
      <c r="J95" t="s">
        <v>22</v>
      </c>
      <c r="K95">
        <v>0.85308740000000005</v>
      </c>
      <c r="L95">
        <v>0.82996890000000001</v>
      </c>
      <c r="M95">
        <v>0.87685000000000002</v>
      </c>
      <c r="N95" s="1">
        <v>8.7707580000000005E-30</v>
      </c>
      <c r="O95" t="str">
        <f t="shared" si="23"/>
        <v>0.85(0.83-0.88)</v>
      </c>
      <c r="P95" t="str">
        <f t="shared" si="24"/>
        <v>&lt;0.001</v>
      </c>
      <c r="S95" t="s">
        <v>22</v>
      </c>
      <c r="T95">
        <v>0.86041250000000002</v>
      </c>
      <c r="U95">
        <v>0.83724880000000002</v>
      </c>
      <c r="V95">
        <v>0.88421720000000004</v>
      </c>
      <c r="W95">
        <v>0</v>
      </c>
      <c r="X95" t="str">
        <f t="shared" si="25"/>
        <v>0.86(0.84-0.88)</v>
      </c>
      <c r="Y95" t="str">
        <f t="shared" si="26"/>
        <v>&lt;0.001</v>
      </c>
      <c r="AC95" s="1"/>
      <c r="AD95" s="1"/>
      <c r="AF95" s="1"/>
      <c r="AG95" s="1"/>
    </row>
    <row r="96" spans="1:33" x14ac:dyDescent="0.3">
      <c r="A96" t="s">
        <v>23</v>
      </c>
      <c r="B96">
        <v>0.53068059999999995</v>
      </c>
      <c r="C96">
        <v>0.51593840000000002</v>
      </c>
      <c r="D96">
        <v>0.545844</v>
      </c>
      <c r="E96">
        <v>0</v>
      </c>
      <c r="F96" t="str">
        <f t="shared" si="21"/>
        <v>0.53(0.52-0.55)</v>
      </c>
      <c r="G96" t="str">
        <f t="shared" si="22"/>
        <v>&lt;0.001</v>
      </c>
      <c r="J96" t="s">
        <v>23</v>
      </c>
      <c r="K96">
        <v>0.51031260000000001</v>
      </c>
      <c r="L96">
        <v>0.4957974</v>
      </c>
      <c r="M96">
        <v>0.52525279999999996</v>
      </c>
      <c r="N96">
        <v>0</v>
      </c>
      <c r="O96" t="str">
        <f t="shared" si="23"/>
        <v>0.51(0.5-0.53)</v>
      </c>
      <c r="P96" t="str">
        <f t="shared" si="24"/>
        <v>&lt;0.001</v>
      </c>
      <c r="S96" t="s">
        <v>23</v>
      </c>
      <c r="T96">
        <v>0.51634190000000002</v>
      </c>
      <c r="U96">
        <v>0.5024208</v>
      </c>
      <c r="V96">
        <v>0.53064869999999997</v>
      </c>
      <c r="W96">
        <v>0</v>
      </c>
      <c r="X96" t="str">
        <f t="shared" si="25"/>
        <v>0.52(0.5-0.53)</v>
      </c>
      <c r="Y96" t="str">
        <f t="shared" si="26"/>
        <v>&lt;0.001</v>
      </c>
    </row>
    <row r="97" spans="1:25" x14ac:dyDescent="0.3">
      <c r="A97" t="s">
        <v>51</v>
      </c>
      <c r="B97">
        <v>1.8843730000000001</v>
      </c>
      <c r="C97">
        <v>1.832025</v>
      </c>
      <c r="D97">
        <v>1.9382159999999999</v>
      </c>
      <c r="E97">
        <v>0</v>
      </c>
      <c r="F97" t="str">
        <f t="shared" si="21"/>
        <v>1.88(1.83-1.94)</v>
      </c>
      <c r="G97" t="str">
        <f t="shared" si="22"/>
        <v>&lt;0.001</v>
      </c>
      <c r="J97" t="s">
        <v>51</v>
      </c>
      <c r="K97">
        <v>1.9595830000000001</v>
      </c>
      <c r="L97">
        <v>1.903845</v>
      </c>
      <c r="M97">
        <v>2.016953</v>
      </c>
      <c r="N97">
        <v>0</v>
      </c>
      <c r="O97" t="str">
        <f t="shared" si="23"/>
        <v>1.96(1.9-2.02)</v>
      </c>
      <c r="P97" t="str">
        <f t="shared" si="24"/>
        <v>&lt;0.001</v>
      </c>
      <c r="R97" s="1"/>
      <c r="S97" t="s">
        <v>51</v>
      </c>
      <c r="T97">
        <v>1.936701</v>
      </c>
      <c r="U97">
        <v>1.8844860000000001</v>
      </c>
      <c r="V97">
        <v>1.990364</v>
      </c>
      <c r="W97">
        <v>0</v>
      </c>
      <c r="X97" t="str">
        <f t="shared" si="25"/>
        <v>1.94(1.88-1.99)</v>
      </c>
      <c r="Y97" t="str">
        <f t="shared" si="26"/>
        <v>&lt;0.001</v>
      </c>
    </row>
    <row r="98" spans="1:25" x14ac:dyDescent="0.3">
      <c r="A98" t="s">
        <v>25</v>
      </c>
      <c r="B98">
        <v>2.1293090000000001</v>
      </c>
      <c r="C98">
        <v>2.048991</v>
      </c>
      <c r="D98">
        <v>2.212774</v>
      </c>
      <c r="E98">
        <v>0</v>
      </c>
      <c r="F98" t="str">
        <f t="shared" si="21"/>
        <v>2.13(2.05-2.21)</v>
      </c>
      <c r="G98" t="str">
        <f t="shared" si="22"/>
        <v>&lt;0.001</v>
      </c>
      <c r="J98" t="s">
        <v>25</v>
      </c>
      <c r="K98">
        <v>2.4545400000000002</v>
      </c>
      <c r="L98">
        <v>2.3522430000000001</v>
      </c>
      <c r="M98">
        <v>2.561286</v>
      </c>
      <c r="N98" s="1">
        <v>0</v>
      </c>
      <c r="O98" t="str">
        <f t="shared" si="23"/>
        <v>2.45(2.35-2.56)</v>
      </c>
      <c r="P98" t="str">
        <f t="shared" si="24"/>
        <v>&lt;0.001</v>
      </c>
      <c r="R98" s="1"/>
      <c r="S98" t="s">
        <v>25</v>
      </c>
      <c r="T98">
        <v>2.4214920000000002</v>
      </c>
      <c r="U98">
        <v>2.3221919999999998</v>
      </c>
      <c r="V98">
        <v>2.5250370000000002</v>
      </c>
      <c r="W98">
        <v>0</v>
      </c>
      <c r="X98" t="str">
        <f t="shared" si="25"/>
        <v>2.42(2.32-2.53)</v>
      </c>
      <c r="Y98" t="str">
        <f t="shared" si="26"/>
        <v>&lt;0.001</v>
      </c>
    </row>
    <row r="99" spans="1:25" x14ac:dyDescent="0.3">
      <c r="A99" t="s">
        <v>26</v>
      </c>
      <c r="B99">
        <v>6.0247999999999999</v>
      </c>
      <c r="C99">
        <v>5.8095679999999996</v>
      </c>
      <c r="D99">
        <v>6.2480060000000002</v>
      </c>
      <c r="E99">
        <v>0</v>
      </c>
      <c r="F99" t="str">
        <f t="shared" si="21"/>
        <v>6.02(5.81-6.25)</v>
      </c>
      <c r="G99" t="str">
        <f t="shared" si="22"/>
        <v>&lt;0.001</v>
      </c>
      <c r="J99" t="s">
        <v>26</v>
      </c>
      <c r="K99">
        <v>7.2345160000000002</v>
      </c>
      <c r="L99">
        <v>6.9487709999999998</v>
      </c>
      <c r="M99">
        <v>7.5320130000000001</v>
      </c>
      <c r="N99">
        <v>0</v>
      </c>
      <c r="O99" t="str">
        <f t="shared" si="23"/>
        <v>7.23(6.95-7.53)</v>
      </c>
      <c r="P99" t="str">
        <f t="shared" si="24"/>
        <v>&lt;0.001</v>
      </c>
      <c r="R99" s="1"/>
      <c r="S99" t="s">
        <v>26</v>
      </c>
      <c r="T99">
        <v>6.7899029999999998</v>
      </c>
      <c r="U99">
        <v>6.5239940000000001</v>
      </c>
      <c r="V99">
        <v>7.0666500000000001</v>
      </c>
      <c r="W99">
        <v>0</v>
      </c>
      <c r="X99" t="str">
        <f t="shared" si="25"/>
        <v>6.79(6.52-7.07)</v>
      </c>
      <c r="Y99" t="str">
        <f t="shared" si="26"/>
        <v>&lt;0.001</v>
      </c>
    </row>
    <row r="100" spans="1:25" x14ac:dyDescent="0.3">
      <c r="A100" t="s">
        <v>27</v>
      </c>
      <c r="B100">
        <v>3.3444090000000002</v>
      </c>
      <c r="C100">
        <v>3.17049</v>
      </c>
      <c r="D100">
        <v>3.5278679999999998</v>
      </c>
      <c r="E100">
        <v>0</v>
      </c>
      <c r="F100" t="str">
        <f t="shared" si="21"/>
        <v>3.34(3.17-3.53)</v>
      </c>
      <c r="G100" t="str">
        <f t="shared" si="22"/>
        <v>&lt;0.001</v>
      </c>
      <c r="J100" t="s">
        <v>27</v>
      </c>
      <c r="K100">
        <v>3.7001409999999999</v>
      </c>
      <c r="L100">
        <v>3.4906009999999998</v>
      </c>
      <c r="M100">
        <v>3.9222600000000001</v>
      </c>
      <c r="N100">
        <v>0</v>
      </c>
      <c r="O100" t="str">
        <f t="shared" si="23"/>
        <v>3.7(3.49-3.92)</v>
      </c>
      <c r="P100" t="str">
        <f t="shared" si="24"/>
        <v>&lt;0.001</v>
      </c>
      <c r="R100" s="1"/>
      <c r="S100" t="s">
        <v>27</v>
      </c>
      <c r="T100">
        <v>3.4257759999999999</v>
      </c>
      <c r="U100">
        <v>3.2281689999999998</v>
      </c>
      <c r="V100">
        <v>3.6354790000000001</v>
      </c>
      <c r="W100">
        <v>0</v>
      </c>
      <c r="X100" t="str">
        <f t="shared" si="25"/>
        <v>3.43(3.23-3.64)</v>
      </c>
      <c r="Y100" t="str">
        <f t="shared" si="26"/>
        <v>&lt;0.001</v>
      </c>
    </row>
    <row r="101" spans="1:25" x14ac:dyDescent="0.3">
      <c r="A101" t="s">
        <v>28</v>
      </c>
      <c r="B101">
        <v>0.20616019999999999</v>
      </c>
      <c r="C101">
        <v>0.20020740000000001</v>
      </c>
      <c r="D101">
        <v>0.21229000000000001</v>
      </c>
      <c r="E101">
        <v>0</v>
      </c>
      <c r="F101" t="str">
        <f t="shared" si="21"/>
        <v>0.21(0.2-0.21)</v>
      </c>
      <c r="G101" t="str">
        <f t="shared" si="22"/>
        <v>&lt;0.001</v>
      </c>
      <c r="J101" t="s">
        <v>28</v>
      </c>
      <c r="K101">
        <v>0.18560769999999999</v>
      </c>
      <c r="L101">
        <v>0.17980399999999999</v>
      </c>
      <c r="M101">
        <v>0.19159870000000001</v>
      </c>
      <c r="N101">
        <v>0</v>
      </c>
      <c r="O101" t="str">
        <f t="shared" si="23"/>
        <v>0.19(0.18-0.19)</v>
      </c>
      <c r="P101" t="str">
        <f t="shared" si="24"/>
        <v>&lt;0.001</v>
      </c>
      <c r="S101" t="s">
        <v>28</v>
      </c>
      <c r="T101">
        <v>0.20031499999999999</v>
      </c>
      <c r="U101">
        <v>0.19426099999999999</v>
      </c>
      <c r="V101">
        <v>0.20655760000000001</v>
      </c>
      <c r="W101">
        <v>0</v>
      </c>
      <c r="X101" t="str">
        <f t="shared" si="25"/>
        <v>0.2(0.19-0.21)</v>
      </c>
      <c r="Y101" t="str">
        <f t="shared" si="26"/>
        <v>&lt;0.001</v>
      </c>
    </row>
    <row r="102" spans="1:25" x14ac:dyDescent="0.3">
      <c r="A102" t="s">
        <v>29</v>
      </c>
      <c r="B102">
        <v>1.327674</v>
      </c>
      <c r="C102">
        <v>1.2943309999999999</v>
      </c>
      <c r="D102">
        <v>1.361877</v>
      </c>
      <c r="E102" s="1">
        <v>9.6097989999999996E-106</v>
      </c>
      <c r="F102" t="str">
        <f t="shared" si="21"/>
        <v>1.33(1.29-1.36)</v>
      </c>
      <c r="G102" t="str">
        <f t="shared" si="22"/>
        <v>&lt;0.001</v>
      </c>
      <c r="J102" t="s">
        <v>29</v>
      </c>
      <c r="K102">
        <v>1.362301</v>
      </c>
      <c r="L102">
        <v>1.3269979999999999</v>
      </c>
      <c r="M102">
        <v>1.398544</v>
      </c>
      <c r="N102" s="1">
        <v>7.513992E-118</v>
      </c>
      <c r="O102" t="str">
        <f t="shared" si="23"/>
        <v>1.36(1.33-1.4)</v>
      </c>
      <c r="P102" t="str">
        <f t="shared" si="24"/>
        <v>&lt;0.001</v>
      </c>
      <c r="S102" t="s">
        <v>29</v>
      </c>
      <c r="T102">
        <v>1.366133</v>
      </c>
      <c r="U102">
        <v>1.332541</v>
      </c>
      <c r="V102">
        <v>1.4005719999999999</v>
      </c>
      <c r="W102">
        <v>0</v>
      </c>
      <c r="X102" t="str">
        <f t="shared" si="25"/>
        <v>1.37(1.33-1.4)</v>
      </c>
      <c r="Y102" t="str">
        <f t="shared" si="26"/>
        <v>&lt;0.001</v>
      </c>
    </row>
    <row r="103" spans="1:25" x14ac:dyDescent="0.3">
      <c r="A103" t="s">
        <v>30</v>
      </c>
      <c r="B103">
        <v>1.4414009999999999</v>
      </c>
      <c r="C103">
        <v>1.409583</v>
      </c>
      <c r="D103">
        <v>1.473938</v>
      </c>
      <c r="E103" s="1">
        <v>4.0554790000000002E-226</v>
      </c>
      <c r="F103" t="str">
        <f t="shared" si="21"/>
        <v>1.44(1.41-1.47)</v>
      </c>
      <c r="G103" t="str">
        <f t="shared" si="22"/>
        <v>&lt;0.001</v>
      </c>
      <c r="J103" t="s">
        <v>30</v>
      </c>
      <c r="K103">
        <v>1.5502419999999999</v>
      </c>
      <c r="L103">
        <v>1.5144660000000001</v>
      </c>
      <c r="M103">
        <v>1.5868629999999999</v>
      </c>
      <c r="N103" s="1">
        <v>1.6658300000000001E-296</v>
      </c>
      <c r="O103" t="str">
        <f t="shared" si="23"/>
        <v>1.55(1.51-1.59)</v>
      </c>
      <c r="P103" t="str">
        <f t="shared" si="24"/>
        <v>&lt;0.001</v>
      </c>
      <c r="S103" t="s">
        <v>30</v>
      </c>
      <c r="T103">
        <v>1.5766309999999999</v>
      </c>
      <c r="U103">
        <v>1.53959</v>
      </c>
      <c r="V103">
        <v>1.6145620000000001</v>
      </c>
      <c r="W103">
        <v>0</v>
      </c>
      <c r="X103" t="str">
        <f t="shared" si="25"/>
        <v>1.58(1.54-1.61)</v>
      </c>
      <c r="Y103" t="str">
        <f t="shared" si="26"/>
        <v>&lt;0.001</v>
      </c>
    </row>
    <row r="106" spans="1:25" x14ac:dyDescent="0.3">
      <c r="A106" t="s">
        <v>52</v>
      </c>
      <c r="J106" t="s">
        <v>53</v>
      </c>
      <c r="S106" t="s">
        <v>54</v>
      </c>
    </row>
    <row r="107" spans="1:25" x14ac:dyDescent="0.3">
      <c r="B107" t="s">
        <v>3</v>
      </c>
      <c r="C107" t="s">
        <v>4</v>
      </c>
      <c r="D107" t="s">
        <v>5</v>
      </c>
      <c r="E107" t="s">
        <v>8</v>
      </c>
      <c r="F107" t="s">
        <v>6</v>
      </c>
      <c r="G107" t="s">
        <v>7</v>
      </c>
      <c r="K107" t="s">
        <v>3</v>
      </c>
      <c r="L107" t="s">
        <v>4</v>
      </c>
      <c r="M107" t="s">
        <v>5</v>
      </c>
      <c r="N107" t="s">
        <v>8</v>
      </c>
      <c r="O107" t="s">
        <v>6</v>
      </c>
      <c r="P107" t="s">
        <v>7</v>
      </c>
      <c r="T107" t="s">
        <v>3</v>
      </c>
      <c r="U107" t="s">
        <v>4</v>
      </c>
      <c r="V107" t="s">
        <v>5</v>
      </c>
      <c r="W107" t="s">
        <v>8</v>
      </c>
      <c r="X107" t="s">
        <v>6</v>
      </c>
      <c r="Y107" t="s">
        <v>7</v>
      </c>
    </row>
    <row r="108" spans="1:25" x14ac:dyDescent="0.3">
      <c r="A108" t="s">
        <v>48</v>
      </c>
      <c r="B108">
        <v>0.93795779999999995</v>
      </c>
      <c r="C108">
        <v>0.90040969999999998</v>
      </c>
      <c r="D108">
        <v>0.97707169999999999</v>
      </c>
      <c r="E108" s="1">
        <v>2.1211789999999999E-3</v>
      </c>
      <c r="F108" t="str">
        <f>ROUND(B108,2)&amp;"("&amp;ROUND(C108,2)&amp;"-"&amp;ROUND(D108,2)&amp;")"</f>
        <v>0.94(0.9-0.98)</v>
      </c>
      <c r="G108">
        <f>IF(E108&lt;0.001,"&lt;0.001",ROUND(E108,3))</f>
        <v>2E-3</v>
      </c>
      <c r="J108" t="s">
        <v>48</v>
      </c>
      <c r="K108">
        <v>0.94316069999999996</v>
      </c>
      <c r="L108">
        <v>0.90391429999999995</v>
      </c>
      <c r="M108">
        <v>0.98411119999999996</v>
      </c>
      <c r="N108" s="1">
        <v>6.9642189999999998E-3</v>
      </c>
      <c r="O108" t="str">
        <f>ROUND(K108,2)&amp;"("&amp;ROUND(L108,2)&amp;"-"&amp;ROUND(M108,2)&amp;")"</f>
        <v>0.94(0.9-0.98)</v>
      </c>
      <c r="P108">
        <f>IF(N108&lt;0.001,"&lt;0.001",ROUND(N108,3))</f>
        <v>7.0000000000000001E-3</v>
      </c>
      <c r="S108" t="s">
        <v>48</v>
      </c>
      <c r="T108">
        <v>0.94462749999999995</v>
      </c>
      <c r="U108">
        <v>0.90390709999999996</v>
      </c>
      <c r="V108">
        <v>0.98718229999999996</v>
      </c>
      <c r="W108" s="1">
        <v>1.1282459999999999E-2</v>
      </c>
      <c r="X108" t="str">
        <f>ROUND(T108,2)&amp;"("&amp;ROUND(U108,2)&amp;"-"&amp;ROUND(V108,2)&amp;")"</f>
        <v>0.94(0.9-0.99)</v>
      </c>
      <c r="Y108">
        <f>IF(W108&lt;0.001,"&lt;0.001",ROUND(W108,3))</f>
        <v>1.0999999999999999E-2</v>
      </c>
    </row>
    <row r="109" spans="1:25" x14ac:dyDescent="0.3">
      <c r="A109" t="s">
        <v>9</v>
      </c>
      <c r="B109">
        <v>1.038859</v>
      </c>
      <c r="C109">
        <v>1.0371394</v>
      </c>
      <c r="D109">
        <v>1.0405814</v>
      </c>
      <c r="E109" s="1">
        <v>0</v>
      </c>
      <c r="F109" t="str">
        <f t="shared" ref="F109:F129" si="27">ROUND(B109,2)&amp;"("&amp;ROUND(C109,2)&amp;"-"&amp;ROUND(D109,2)&amp;")"</f>
        <v>1.04(1.04-1.04)</v>
      </c>
      <c r="G109" t="str">
        <f t="shared" ref="G109:G129" si="28">IF(E109&lt;0.001,"&lt;0.001",ROUND(E109,3))</f>
        <v>&lt;0.001</v>
      </c>
      <c r="J109" t="s">
        <v>9</v>
      </c>
      <c r="K109">
        <v>1.0373905999999999</v>
      </c>
      <c r="L109">
        <v>1.0356064</v>
      </c>
      <c r="M109">
        <v>1.0391779000000001</v>
      </c>
      <c r="N109" s="1">
        <v>0</v>
      </c>
      <c r="O109" t="str">
        <f t="shared" ref="O109:O129" si="29">ROUND(K109,2)&amp;"("&amp;ROUND(L109,2)&amp;"-"&amp;ROUND(M109,2)&amp;")"</f>
        <v>1.04(1.04-1.04)</v>
      </c>
      <c r="P109" t="str">
        <f t="shared" ref="P109:P129" si="30">IF(N109&lt;0.001,"&lt;0.001",ROUND(N109,3))</f>
        <v>&lt;0.001</v>
      </c>
      <c r="S109" t="s">
        <v>9</v>
      </c>
      <c r="T109">
        <v>1.0327276000000001</v>
      </c>
      <c r="U109">
        <v>1.0308629</v>
      </c>
      <c r="V109">
        <v>1.0345958</v>
      </c>
      <c r="W109" s="1">
        <v>0</v>
      </c>
      <c r="X109" t="str">
        <f t="shared" ref="X109:X129" si="31">ROUND(T109,2)&amp;"("&amp;ROUND(U109,2)&amp;"-"&amp;ROUND(V109,2)&amp;")"</f>
        <v>1.03(1.03-1.03)</v>
      </c>
      <c r="Y109" t="str">
        <f t="shared" ref="Y109:Y129" si="32">IF(W109&lt;0.001,"&lt;0.001",ROUND(W109,3))</f>
        <v>&lt;0.001</v>
      </c>
    </row>
    <row r="110" spans="1:25" x14ac:dyDescent="0.3">
      <c r="A110" t="s">
        <v>10</v>
      </c>
      <c r="B110">
        <v>1.2122109999999999</v>
      </c>
      <c r="C110">
        <v>1.1375333999999999</v>
      </c>
      <c r="D110">
        <v>1.2917912</v>
      </c>
      <c r="E110" s="1">
        <v>2.9902720000000001E-9</v>
      </c>
      <c r="F110" t="str">
        <f t="shared" si="27"/>
        <v>1.21(1.14-1.29)</v>
      </c>
      <c r="G110" t="str">
        <f t="shared" si="28"/>
        <v>&lt;0.001</v>
      </c>
      <c r="J110" t="s">
        <v>10</v>
      </c>
      <c r="K110">
        <v>1.2018123000000001</v>
      </c>
      <c r="L110">
        <v>1.1250625000000001</v>
      </c>
      <c r="M110">
        <v>1.2837978999999999</v>
      </c>
      <c r="N110" s="1">
        <v>4.7675469999999999E-8</v>
      </c>
      <c r="O110" t="str">
        <f t="shared" si="29"/>
        <v>1.2(1.13-1.28)</v>
      </c>
      <c r="P110" t="str">
        <f t="shared" si="30"/>
        <v>&lt;0.001</v>
      </c>
      <c r="S110" t="s">
        <v>10</v>
      </c>
      <c r="T110">
        <v>1.1926349000000001</v>
      </c>
      <c r="U110">
        <v>1.1123647999999999</v>
      </c>
      <c r="V110">
        <v>1.2786972999999999</v>
      </c>
      <c r="W110" s="1">
        <v>7.214425E-7</v>
      </c>
      <c r="X110" t="str">
        <f t="shared" si="31"/>
        <v>1.19(1.11-1.28)</v>
      </c>
      <c r="Y110" t="str">
        <f t="shared" si="32"/>
        <v>&lt;0.001</v>
      </c>
    </row>
    <row r="111" spans="1:25" x14ac:dyDescent="0.3">
      <c r="A111" t="s">
        <v>49</v>
      </c>
      <c r="B111">
        <v>1.1734469000000001</v>
      </c>
      <c r="C111">
        <v>1.1463479000000001</v>
      </c>
      <c r="D111">
        <v>1.2011864999999999</v>
      </c>
      <c r="E111" s="1">
        <v>4.7861200000000003E-41</v>
      </c>
      <c r="F111" t="str">
        <f t="shared" si="27"/>
        <v>1.17(1.15-1.2)</v>
      </c>
      <c r="G111" t="str">
        <f t="shared" si="28"/>
        <v>&lt;0.001</v>
      </c>
      <c r="J111" t="s">
        <v>49</v>
      </c>
      <c r="K111">
        <v>1.1736778999999999</v>
      </c>
      <c r="L111">
        <v>1.1454390999999999</v>
      </c>
      <c r="M111">
        <v>1.2026129000000001</v>
      </c>
      <c r="N111" s="1">
        <v>5.2717699999999997E-38</v>
      </c>
      <c r="O111" t="str">
        <f t="shared" si="29"/>
        <v>1.17(1.15-1.2)</v>
      </c>
      <c r="P111" t="str">
        <f t="shared" si="30"/>
        <v>&lt;0.001</v>
      </c>
      <c r="S111" t="s">
        <v>55</v>
      </c>
      <c r="T111">
        <v>1.1511838000000001</v>
      </c>
      <c r="U111">
        <v>1.1216995000000001</v>
      </c>
      <c r="V111">
        <v>1.1814431000000001</v>
      </c>
      <c r="W111" s="1">
        <v>0</v>
      </c>
      <c r="X111" t="str">
        <f t="shared" si="31"/>
        <v>1.15(1.12-1.18)</v>
      </c>
      <c r="Y111" t="str">
        <f t="shared" si="32"/>
        <v>&lt;0.001</v>
      </c>
    </row>
    <row r="112" spans="1:25" x14ac:dyDescent="0.3">
      <c r="A112" t="s">
        <v>13</v>
      </c>
      <c r="B112">
        <v>1.0012607</v>
      </c>
      <c r="C112">
        <v>1.0006988000000001</v>
      </c>
      <c r="D112">
        <v>1.0018229999999999</v>
      </c>
      <c r="E112" s="1">
        <v>1.09028E-5</v>
      </c>
      <c r="F112" t="str">
        <f t="shared" si="27"/>
        <v>1(1-1)</v>
      </c>
      <c r="G112" t="str">
        <f t="shared" si="28"/>
        <v>&lt;0.001</v>
      </c>
      <c r="J112" t="s">
        <v>13</v>
      </c>
      <c r="K112">
        <v>1.0012661</v>
      </c>
      <c r="L112">
        <v>1.0006797999999999</v>
      </c>
      <c r="M112">
        <v>1.0018526999999999</v>
      </c>
      <c r="N112" s="1">
        <v>2.2978049999999999E-5</v>
      </c>
      <c r="O112" t="str">
        <f t="shared" si="29"/>
        <v>1(1-1)</v>
      </c>
      <c r="P112" t="str">
        <f t="shared" si="30"/>
        <v>&lt;0.001</v>
      </c>
      <c r="S112" t="s">
        <v>13</v>
      </c>
      <c r="T112">
        <v>1.0011882999999999</v>
      </c>
      <c r="U112">
        <v>1.0005558999999999</v>
      </c>
      <c r="V112">
        <v>1.0018210000000001</v>
      </c>
      <c r="W112" s="1">
        <v>2.2950840000000001E-4</v>
      </c>
      <c r="X112" t="str">
        <f t="shared" si="31"/>
        <v>1(1-1)</v>
      </c>
      <c r="Y112" t="str">
        <f t="shared" si="32"/>
        <v>&lt;0.001</v>
      </c>
    </row>
    <row r="113" spans="1:25" x14ac:dyDescent="0.3">
      <c r="A113" t="s">
        <v>14</v>
      </c>
      <c r="B113">
        <v>0.97112390000000004</v>
      </c>
      <c r="C113">
        <v>0.96677769999999996</v>
      </c>
      <c r="D113">
        <v>0.97548970000000002</v>
      </c>
      <c r="E113" s="1">
        <v>1.5694340000000001E-37</v>
      </c>
      <c r="F113" t="str">
        <f t="shared" si="27"/>
        <v>0.97(0.97-0.98)</v>
      </c>
      <c r="G113" t="str">
        <f t="shared" si="28"/>
        <v>&lt;0.001</v>
      </c>
      <c r="J113" t="s">
        <v>14</v>
      </c>
      <c r="K113">
        <v>0.97177939999999996</v>
      </c>
      <c r="L113">
        <v>0.96725419999999995</v>
      </c>
      <c r="M113">
        <v>0.97632569999999996</v>
      </c>
      <c r="N113" s="1">
        <v>2.7597030000000002E-33</v>
      </c>
      <c r="O113" t="str">
        <f t="shared" si="29"/>
        <v>0.97(0.97-0.98)</v>
      </c>
      <c r="P113" t="str">
        <f t="shared" si="30"/>
        <v>&lt;0.001</v>
      </c>
      <c r="S113" t="s">
        <v>14</v>
      </c>
      <c r="T113">
        <v>0.97565659999999998</v>
      </c>
      <c r="U113">
        <v>0.97088099999999999</v>
      </c>
      <c r="V113">
        <v>0.98045559999999998</v>
      </c>
      <c r="W113" s="1">
        <v>0</v>
      </c>
      <c r="X113" t="str">
        <f t="shared" si="31"/>
        <v>0.98(0.97-0.98)</v>
      </c>
      <c r="Y113" t="str">
        <f t="shared" si="32"/>
        <v>&lt;0.001</v>
      </c>
    </row>
    <row r="114" spans="1:25" x14ac:dyDescent="0.3">
      <c r="A114" t="s">
        <v>15</v>
      </c>
      <c r="B114">
        <v>0.96421619999999997</v>
      </c>
      <c r="C114">
        <v>0.9278073</v>
      </c>
      <c r="D114">
        <v>1.0020538000000001</v>
      </c>
      <c r="E114" s="1">
        <v>6.352584E-2</v>
      </c>
      <c r="F114" t="str">
        <f t="shared" si="27"/>
        <v>0.96(0.93-1)</v>
      </c>
      <c r="G114">
        <f t="shared" si="28"/>
        <v>6.4000000000000001E-2</v>
      </c>
      <c r="J114" t="s">
        <v>15</v>
      </c>
      <c r="K114">
        <v>0.96365089999999998</v>
      </c>
      <c r="L114">
        <v>0.92588479999999995</v>
      </c>
      <c r="M114">
        <v>1.0029574000000001</v>
      </c>
      <c r="N114" s="1">
        <v>6.9494379999999994E-2</v>
      </c>
      <c r="O114" t="str">
        <f t="shared" si="29"/>
        <v>0.96(0.93-1)</v>
      </c>
      <c r="P114">
        <f t="shared" si="30"/>
        <v>6.9000000000000006E-2</v>
      </c>
      <c r="S114" t="s">
        <v>15</v>
      </c>
      <c r="T114">
        <v>0.97407390000000005</v>
      </c>
      <c r="U114">
        <v>0.93304109999999996</v>
      </c>
      <c r="V114">
        <v>1.0169111</v>
      </c>
      <c r="W114" s="1">
        <v>0.23158529999999999</v>
      </c>
      <c r="X114" t="str">
        <f t="shared" si="31"/>
        <v>0.97(0.93-1.02)</v>
      </c>
      <c r="Y114">
        <f t="shared" si="32"/>
        <v>0.23200000000000001</v>
      </c>
    </row>
    <row r="115" spans="1:25" x14ac:dyDescent="0.3">
      <c r="A115" t="s">
        <v>16</v>
      </c>
      <c r="B115">
        <v>0.96397770000000005</v>
      </c>
      <c r="C115">
        <v>0.92914949999999996</v>
      </c>
      <c r="D115">
        <v>1.0001114</v>
      </c>
      <c r="E115" s="1">
        <v>5.0697520000000003E-2</v>
      </c>
      <c r="F115" t="str">
        <f t="shared" si="27"/>
        <v>0.96(0.93-1)</v>
      </c>
      <c r="G115">
        <f t="shared" si="28"/>
        <v>5.0999999999999997E-2</v>
      </c>
      <c r="J115" t="s">
        <v>16</v>
      </c>
      <c r="K115">
        <v>0.96243000000000001</v>
      </c>
      <c r="L115">
        <v>0.92630230000000002</v>
      </c>
      <c r="M115">
        <v>0.99996669999999999</v>
      </c>
      <c r="N115" s="1">
        <v>4.9801190000000002E-2</v>
      </c>
      <c r="O115" t="str">
        <f t="shared" si="29"/>
        <v>0.96(0.93-1)</v>
      </c>
      <c r="P115">
        <f t="shared" si="30"/>
        <v>0.05</v>
      </c>
      <c r="S115" t="s">
        <v>16</v>
      </c>
      <c r="T115">
        <v>0.97682469999999999</v>
      </c>
      <c r="U115">
        <v>0.93742300000000001</v>
      </c>
      <c r="V115">
        <v>1.0178824</v>
      </c>
      <c r="W115" s="1">
        <v>0.26432099999999997</v>
      </c>
      <c r="X115" t="str">
        <f t="shared" si="31"/>
        <v>0.98(0.94-1.02)</v>
      </c>
      <c r="Y115">
        <f t="shared" si="32"/>
        <v>0.26400000000000001</v>
      </c>
    </row>
    <row r="116" spans="1:25" x14ac:dyDescent="0.3">
      <c r="A116" t="s">
        <v>17</v>
      </c>
      <c r="B116">
        <v>0.94425360000000003</v>
      </c>
      <c r="C116">
        <v>0.91269389999999995</v>
      </c>
      <c r="D116">
        <v>0.97690469999999996</v>
      </c>
      <c r="E116" s="1">
        <v>9.4248879999999995E-4</v>
      </c>
      <c r="F116" t="str">
        <f t="shared" si="27"/>
        <v>0.94(0.91-0.98)</v>
      </c>
      <c r="G116" t="str">
        <f t="shared" si="28"/>
        <v>&lt;0.001</v>
      </c>
      <c r="J116" t="s">
        <v>17</v>
      </c>
      <c r="K116">
        <v>0.94284069999999998</v>
      </c>
      <c r="L116">
        <v>0.91007649999999995</v>
      </c>
      <c r="M116">
        <v>0.97678449999999994</v>
      </c>
      <c r="N116" s="1">
        <v>1.107748E-3</v>
      </c>
      <c r="O116" t="str">
        <f t="shared" si="29"/>
        <v>0.94(0.91-0.98)</v>
      </c>
      <c r="P116">
        <f t="shared" si="30"/>
        <v>1E-3</v>
      </c>
      <c r="S116" t="s">
        <v>17</v>
      </c>
      <c r="T116">
        <v>0.94855730000000005</v>
      </c>
      <c r="U116">
        <v>0.91289050000000005</v>
      </c>
      <c r="V116">
        <v>0.98561750000000004</v>
      </c>
      <c r="W116" s="1">
        <v>6.9160769999999996E-3</v>
      </c>
      <c r="X116" t="str">
        <f t="shared" si="31"/>
        <v>0.95(0.91-0.99)</v>
      </c>
      <c r="Y116">
        <f t="shared" si="32"/>
        <v>7.0000000000000001E-3</v>
      </c>
    </row>
    <row r="117" spans="1:25" x14ac:dyDescent="0.3">
      <c r="A117" t="s">
        <v>18</v>
      </c>
      <c r="B117">
        <v>0.88944219999999996</v>
      </c>
      <c r="C117">
        <v>0.86109760000000002</v>
      </c>
      <c r="D117">
        <v>0.91871970000000003</v>
      </c>
      <c r="E117" s="1">
        <v>1.3380880000000001E-12</v>
      </c>
      <c r="F117" t="str">
        <f t="shared" si="27"/>
        <v>0.89(0.86-0.92)</v>
      </c>
      <c r="G117" t="str">
        <f t="shared" si="28"/>
        <v>&lt;0.001</v>
      </c>
      <c r="J117" t="s">
        <v>18</v>
      </c>
      <c r="K117">
        <v>0.88754409999999995</v>
      </c>
      <c r="L117">
        <v>0.85808759999999995</v>
      </c>
      <c r="M117">
        <v>0.91801169999999999</v>
      </c>
      <c r="N117" s="1">
        <v>4.2822080000000002E-12</v>
      </c>
      <c r="O117" t="str">
        <f t="shared" si="29"/>
        <v>0.89(0.86-0.92)</v>
      </c>
      <c r="P117" t="str">
        <f t="shared" si="30"/>
        <v>&lt;0.001</v>
      </c>
      <c r="S117" t="s">
        <v>18</v>
      </c>
      <c r="T117">
        <v>0.90103509999999998</v>
      </c>
      <c r="U117">
        <v>0.86866790000000005</v>
      </c>
      <c r="V117">
        <v>0.93460849999999995</v>
      </c>
      <c r="W117" s="1">
        <v>2.360926E-8</v>
      </c>
      <c r="X117" t="str">
        <f t="shared" si="31"/>
        <v>0.9(0.87-0.93)</v>
      </c>
      <c r="Y117" t="str">
        <f t="shared" si="32"/>
        <v>&lt;0.001</v>
      </c>
    </row>
    <row r="118" spans="1:25" x14ac:dyDescent="0.3">
      <c r="A118" t="s">
        <v>19</v>
      </c>
      <c r="B118">
        <v>1.0718048</v>
      </c>
      <c r="C118">
        <v>1.0390222</v>
      </c>
      <c r="D118">
        <v>1.1056216999999999</v>
      </c>
      <c r="E118" s="1">
        <v>1.213031E-5</v>
      </c>
      <c r="F118" t="str">
        <f t="shared" si="27"/>
        <v>1.07(1.04-1.11)</v>
      </c>
      <c r="G118" t="str">
        <f t="shared" si="28"/>
        <v>&lt;0.001</v>
      </c>
      <c r="J118" t="s">
        <v>19</v>
      </c>
      <c r="K118">
        <v>1.0701227</v>
      </c>
      <c r="L118">
        <v>1.0362119000000001</v>
      </c>
      <c r="M118">
        <v>1.1051432000000001</v>
      </c>
      <c r="N118" s="1">
        <v>3.7066559999999999E-5</v>
      </c>
      <c r="O118" t="str">
        <f t="shared" si="29"/>
        <v>1.07(1.04-1.11)</v>
      </c>
      <c r="P118" t="str">
        <f t="shared" si="30"/>
        <v>&lt;0.001</v>
      </c>
      <c r="S118" t="s">
        <v>19</v>
      </c>
      <c r="T118">
        <v>1.0612302</v>
      </c>
      <c r="U118">
        <v>1.0276388999999999</v>
      </c>
      <c r="V118">
        <v>1.0959194000000001</v>
      </c>
      <c r="W118" s="1">
        <v>2.9307139999999997E-4</v>
      </c>
      <c r="X118" t="str">
        <f t="shared" si="31"/>
        <v>1.06(1.03-1.1)</v>
      </c>
      <c r="Y118" t="str">
        <f t="shared" si="32"/>
        <v>&lt;0.001</v>
      </c>
    </row>
    <row r="119" spans="1:25" x14ac:dyDescent="0.3">
      <c r="A119" t="s">
        <v>20</v>
      </c>
      <c r="B119">
        <v>1.2106762</v>
      </c>
      <c r="C119">
        <v>1.1603460999999999</v>
      </c>
      <c r="D119">
        <v>1.2631893999999999</v>
      </c>
      <c r="E119" s="1">
        <v>1.097312E-18</v>
      </c>
      <c r="F119" t="str">
        <f t="shared" si="27"/>
        <v>1.21(1.16-1.26)</v>
      </c>
      <c r="G119" t="str">
        <f t="shared" si="28"/>
        <v>&lt;0.001</v>
      </c>
      <c r="J119" t="s">
        <v>20</v>
      </c>
      <c r="K119">
        <v>1.1716610999999999</v>
      </c>
      <c r="L119">
        <v>1.120617</v>
      </c>
      <c r="M119">
        <v>1.2250303</v>
      </c>
      <c r="N119" s="1">
        <v>3.1507419999999999E-12</v>
      </c>
      <c r="O119" t="str">
        <f t="shared" si="29"/>
        <v>1.17(1.12-1.23)</v>
      </c>
      <c r="P119" t="str">
        <f t="shared" si="30"/>
        <v>&lt;0.001</v>
      </c>
      <c r="S119" t="s">
        <v>20</v>
      </c>
      <c r="T119">
        <v>1.1261269</v>
      </c>
      <c r="U119">
        <v>1.0747641999999999</v>
      </c>
      <c r="V119">
        <v>1.1799442</v>
      </c>
      <c r="W119" s="1">
        <v>6.1260849999999999E-7</v>
      </c>
      <c r="X119" t="str">
        <f t="shared" si="31"/>
        <v>1.13(1.07-1.18)</v>
      </c>
      <c r="Y119" t="str">
        <f t="shared" si="32"/>
        <v>&lt;0.001</v>
      </c>
    </row>
    <row r="120" spans="1:25" x14ac:dyDescent="0.3">
      <c r="A120" t="s">
        <v>21</v>
      </c>
      <c r="B120">
        <v>1.4706870999999999</v>
      </c>
      <c r="C120">
        <v>1.4161406999999999</v>
      </c>
      <c r="D120">
        <v>1.5273344</v>
      </c>
      <c r="E120" s="1">
        <v>5.1404209999999999E-89</v>
      </c>
      <c r="F120" t="str">
        <f t="shared" si="27"/>
        <v>1.47(1.42-1.53)</v>
      </c>
      <c r="G120" t="str">
        <f t="shared" si="28"/>
        <v>&lt;0.001</v>
      </c>
      <c r="J120" t="s">
        <v>21</v>
      </c>
      <c r="K120">
        <v>1.4297523000000001</v>
      </c>
      <c r="L120">
        <v>1.3747164000000001</v>
      </c>
      <c r="M120">
        <v>1.4869916000000001</v>
      </c>
      <c r="N120" s="1">
        <v>2.8774430000000002E-71</v>
      </c>
      <c r="O120" t="str">
        <f t="shared" si="29"/>
        <v>1.43(1.37-1.49)</v>
      </c>
      <c r="P120" t="str">
        <f t="shared" si="30"/>
        <v>&lt;0.001</v>
      </c>
      <c r="S120" t="s">
        <v>21</v>
      </c>
      <c r="T120">
        <v>1.3337817000000001</v>
      </c>
      <c r="U120">
        <v>1.2778362000000001</v>
      </c>
      <c r="V120">
        <v>1.3921766</v>
      </c>
      <c r="W120" s="1">
        <v>0</v>
      </c>
      <c r="X120" t="str">
        <f t="shared" si="31"/>
        <v>1.33(1.28-1.39)</v>
      </c>
      <c r="Y120" t="str">
        <f t="shared" si="32"/>
        <v>&lt;0.001</v>
      </c>
    </row>
    <row r="121" spans="1:25" x14ac:dyDescent="0.3">
      <c r="A121" t="s">
        <v>22</v>
      </c>
      <c r="B121">
        <v>0.924512</v>
      </c>
      <c r="C121">
        <v>0.90018900000000002</v>
      </c>
      <c r="D121">
        <v>0.94949220000000001</v>
      </c>
      <c r="E121" s="1">
        <v>7.9260450000000004E-9</v>
      </c>
      <c r="F121" t="str">
        <f t="shared" si="27"/>
        <v>0.92(0.9-0.95)</v>
      </c>
      <c r="G121" t="str">
        <f t="shared" si="28"/>
        <v>&lt;0.001</v>
      </c>
      <c r="J121" t="s">
        <v>22</v>
      </c>
      <c r="K121">
        <v>0.92697459999999998</v>
      </c>
      <c r="L121">
        <v>0.90159109999999998</v>
      </c>
      <c r="M121">
        <v>0.95307260000000005</v>
      </c>
      <c r="N121" s="1">
        <v>8.6567980000000005E-8</v>
      </c>
      <c r="O121" t="str">
        <f t="shared" si="29"/>
        <v>0.93(0.9-0.95)</v>
      </c>
      <c r="P121" t="str">
        <f t="shared" si="30"/>
        <v>&lt;0.001</v>
      </c>
      <c r="S121" t="s">
        <v>22</v>
      </c>
      <c r="T121">
        <v>0.93635109999999999</v>
      </c>
      <c r="U121">
        <v>0.90959860000000003</v>
      </c>
      <c r="V121">
        <v>0.96389040000000004</v>
      </c>
      <c r="W121" s="1">
        <v>8.7170660000000003E-6</v>
      </c>
      <c r="X121" t="str">
        <f t="shared" si="31"/>
        <v>0.94(0.91-0.96)</v>
      </c>
      <c r="Y121" t="str">
        <f t="shared" si="32"/>
        <v>&lt;0.001</v>
      </c>
    </row>
    <row r="122" spans="1:25" x14ac:dyDescent="0.3">
      <c r="A122" t="s">
        <v>23</v>
      </c>
      <c r="B122">
        <v>0.80890759999999995</v>
      </c>
      <c r="C122">
        <v>0.7852536</v>
      </c>
      <c r="D122">
        <v>0.83327419999999996</v>
      </c>
      <c r="E122" s="1">
        <v>1.445912E-44</v>
      </c>
      <c r="F122" t="str">
        <f t="shared" si="27"/>
        <v>0.81(0.79-0.83)</v>
      </c>
      <c r="G122" t="str">
        <f t="shared" si="28"/>
        <v>&lt;0.001</v>
      </c>
      <c r="J122" t="s">
        <v>23</v>
      </c>
      <c r="K122">
        <v>0.79952800000000002</v>
      </c>
      <c r="L122">
        <v>0.77562249999999999</v>
      </c>
      <c r="M122">
        <v>0.82417019999999996</v>
      </c>
      <c r="N122" s="1">
        <v>2.664385E-47</v>
      </c>
      <c r="O122" t="str">
        <f t="shared" si="29"/>
        <v>0.8(0.78-0.82)</v>
      </c>
      <c r="P122" t="str">
        <f t="shared" si="30"/>
        <v>&lt;0.001</v>
      </c>
      <c r="S122" t="s">
        <v>56</v>
      </c>
      <c r="T122">
        <v>0.81126819999999999</v>
      </c>
      <c r="U122">
        <v>0.78531519999999999</v>
      </c>
      <c r="V122">
        <v>0.83807889999999996</v>
      </c>
      <c r="W122" s="1">
        <v>0</v>
      </c>
      <c r="X122" t="str">
        <f t="shared" si="31"/>
        <v>0.81(0.79-0.84)</v>
      </c>
      <c r="Y122" t="str">
        <f t="shared" si="32"/>
        <v>&lt;0.001</v>
      </c>
    </row>
    <row r="123" spans="1:25" x14ac:dyDescent="0.3">
      <c r="A123" t="s">
        <v>24</v>
      </c>
      <c r="B123">
        <v>1.2362351</v>
      </c>
      <c r="C123">
        <v>1.2000852</v>
      </c>
      <c r="D123">
        <v>1.2734738999999999</v>
      </c>
      <c r="E123" s="1">
        <v>1.445912E-44</v>
      </c>
      <c r="F123" t="str">
        <f t="shared" si="27"/>
        <v>1.24(1.2-1.27)</v>
      </c>
      <c r="G123" t="str">
        <f t="shared" si="28"/>
        <v>&lt;0.001</v>
      </c>
      <c r="J123" t="s">
        <v>24</v>
      </c>
      <c r="K123">
        <v>1.2507379999999999</v>
      </c>
      <c r="L123">
        <v>1.2133415999999999</v>
      </c>
      <c r="M123">
        <v>1.2892869</v>
      </c>
      <c r="N123" s="1">
        <v>2.664385E-47</v>
      </c>
      <c r="O123" t="str">
        <f t="shared" si="29"/>
        <v>1.25(1.21-1.29)</v>
      </c>
      <c r="P123" t="str">
        <f t="shared" si="30"/>
        <v>&lt;0.001</v>
      </c>
      <c r="S123" t="s">
        <v>51</v>
      </c>
      <c r="T123">
        <v>1.2326379000000001</v>
      </c>
      <c r="U123">
        <v>1.1932050000000001</v>
      </c>
      <c r="V123">
        <v>1.273374</v>
      </c>
      <c r="W123" s="1">
        <v>0</v>
      </c>
      <c r="X123" t="str">
        <f t="shared" si="31"/>
        <v>1.23(1.19-1.27)</v>
      </c>
      <c r="Y123" t="str">
        <f t="shared" si="32"/>
        <v>&lt;0.001</v>
      </c>
    </row>
    <row r="124" spans="1:25" x14ac:dyDescent="0.3">
      <c r="A124" t="s">
        <v>25</v>
      </c>
      <c r="B124">
        <v>1.9238118</v>
      </c>
      <c r="C124">
        <v>1.8485301999999999</v>
      </c>
      <c r="D124">
        <v>2.0021591999999999</v>
      </c>
      <c r="E124" s="1">
        <v>1.872876E-226</v>
      </c>
      <c r="F124" t="str">
        <f t="shared" si="27"/>
        <v>1.92(1.85-2)</v>
      </c>
      <c r="G124" t="str">
        <f t="shared" si="28"/>
        <v>&lt;0.001</v>
      </c>
      <c r="J124" t="s">
        <v>25</v>
      </c>
      <c r="K124">
        <v>2.1612184999999999</v>
      </c>
      <c r="L124">
        <v>2.0680442999999999</v>
      </c>
      <c r="M124">
        <v>2.2585905999999998</v>
      </c>
      <c r="N124" s="1">
        <v>1.8060990000000002E-257</v>
      </c>
      <c r="O124" t="str">
        <f t="shared" si="29"/>
        <v>2.16(2.07-2.26)</v>
      </c>
      <c r="P124" t="str">
        <f t="shared" si="30"/>
        <v>&lt;0.001</v>
      </c>
      <c r="S124" t="s">
        <v>57</v>
      </c>
      <c r="T124">
        <v>2.0759268999999998</v>
      </c>
      <c r="U124">
        <v>1.9872053000000001</v>
      </c>
      <c r="V124">
        <v>2.1686095999999999</v>
      </c>
      <c r="W124" s="1">
        <v>0</v>
      </c>
      <c r="X124" t="str">
        <f t="shared" si="31"/>
        <v>2.08(1.99-2.17)</v>
      </c>
      <c r="Y124" t="str">
        <f t="shared" si="32"/>
        <v>&lt;0.001</v>
      </c>
    </row>
    <row r="125" spans="1:25" x14ac:dyDescent="0.3">
      <c r="A125" t="s">
        <v>26</v>
      </c>
      <c r="B125">
        <v>3.9940327999999998</v>
      </c>
      <c r="C125">
        <v>3.8330996000000002</v>
      </c>
      <c r="D125">
        <v>4.1617227999999997</v>
      </c>
      <c r="E125" s="1">
        <v>0</v>
      </c>
      <c r="F125" t="str">
        <f t="shared" si="27"/>
        <v>3.99(3.83-4.16)</v>
      </c>
      <c r="G125" t="str">
        <f t="shared" si="28"/>
        <v>&lt;0.001</v>
      </c>
      <c r="J125" t="s">
        <v>26</v>
      </c>
      <c r="K125">
        <v>4.5951275999999996</v>
      </c>
      <c r="L125">
        <v>4.3928607</v>
      </c>
      <c r="M125">
        <v>4.8067076999999996</v>
      </c>
      <c r="N125" s="1">
        <v>0</v>
      </c>
      <c r="O125" t="str">
        <f t="shared" si="29"/>
        <v>4.6(4.39-4.81)</v>
      </c>
      <c r="P125" t="str">
        <f t="shared" si="30"/>
        <v>&lt;0.001</v>
      </c>
      <c r="S125" t="s">
        <v>26</v>
      </c>
      <c r="T125">
        <v>4.1686515000000002</v>
      </c>
      <c r="U125">
        <v>3.9758227000000002</v>
      </c>
      <c r="V125">
        <v>4.3708324999999997</v>
      </c>
      <c r="W125" s="1">
        <v>0</v>
      </c>
      <c r="X125" t="str">
        <f t="shared" si="31"/>
        <v>4.17(3.98-4.37)</v>
      </c>
      <c r="Y125" t="str">
        <f t="shared" si="32"/>
        <v>&lt;0.001</v>
      </c>
    </row>
    <row r="126" spans="1:25" x14ac:dyDescent="0.3">
      <c r="A126" t="s">
        <v>27</v>
      </c>
      <c r="B126">
        <v>1.8098448</v>
      </c>
      <c r="C126">
        <v>1.7124832000000001</v>
      </c>
      <c r="D126">
        <v>1.9127419000000001</v>
      </c>
      <c r="E126" s="1">
        <v>3.7018369999999998E-98</v>
      </c>
      <c r="F126" t="str">
        <f t="shared" si="27"/>
        <v>1.81(1.71-1.91)</v>
      </c>
      <c r="G126" t="str">
        <f t="shared" si="28"/>
        <v>&lt;0.001</v>
      </c>
      <c r="J126" t="s">
        <v>27</v>
      </c>
      <c r="K126">
        <v>1.9538426</v>
      </c>
      <c r="L126">
        <v>1.8397036</v>
      </c>
      <c r="M126">
        <v>2.0750630000000001</v>
      </c>
      <c r="N126" s="1">
        <v>1.892816E-105</v>
      </c>
      <c r="O126" t="str">
        <f t="shared" si="29"/>
        <v>1.95(1.84-2.08)</v>
      </c>
      <c r="P126" t="str">
        <f t="shared" si="30"/>
        <v>&lt;0.001</v>
      </c>
      <c r="S126" t="s">
        <v>27</v>
      </c>
      <c r="T126">
        <v>1.8579429999999999</v>
      </c>
      <c r="U126">
        <v>1.7446010999999999</v>
      </c>
      <c r="V126">
        <v>1.9786484</v>
      </c>
      <c r="W126" s="1">
        <v>0</v>
      </c>
      <c r="X126" t="str">
        <f t="shared" si="31"/>
        <v>1.86(1.74-1.98)</v>
      </c>
      <c r="Y126" t="str">
        <f t="shared" si="32"/>
        <v>&lt;0.001</v>
      </c>
    </row>
    <row r="127" spans="1:25" x14ac:dyDescent="0.3">
      <c r="A127" t="s">
        <v>28</v>
      </c>
      <c r="B127">
        <v>0.34003460000000002</v>
      </c>
      <c r="C127">
        <v>0.32878299999999999</v>
      </c>
      <c r="D127">
        <v>0.35167120000000002</v>
      </c>
      <c r="E127" s="1">
        <v>0</v>
      </c>
      <c r="F127" t="str">
        <f t="shared" si="27"/>
        <v>0.34(0.33-0.35)</v>
      </c>
      <c r="G127" t="str">
        <f t="shared" si="28"/>
        <v>&lt;0.001</v>
      </c>
      <c r="J127" t="s">
        <v>28</v>
      </c>
      <c r="K127">
        <v>0.32103350000000003</v>
      </c>
      <c r="L127">
        <v>0.3096314</v>
      </c>
      <c r="M127">
        <v>0.33285550000000003</v>
      </c>
      <c r="N127" s="1">
        <v>0</v>
      </c>
      <c r="O127" t="str">
        <f t="shared" si="29"/>
        <v>0.32(0.31-0.33)</v>
      </c>
      <c r="P127" t="str">
        <f t="shared" si="30"/>
        <v>&lt;0.001</v>
      </c>
      <c r="S127" t="s">
        <v>28</v>
      </c>
      <c r="T127">
        <v>0.35078779999999998</v>
      </c>
      <c r="U127">
        <v>0.33828469999999999</v>
      </c>
      <c r="V127">
        <v>0.36375289999999999</v>
      </c>
      <c r="W127" s="1">
        <v>0</v>
      </c>
      <c r="X127" t="str">
        <f t="shared" si="31"/>
        <v>0.35(0.34-0.36)</v>
      </c>
      <c r="Y127" t="str">
        <f t="shared" si="32"/>
        <v>&lt;0.001</v>
      </c>
    </row>
    <row r="128" spans="1:25" x14ac:dyDescent="0.3">
      <c r="A128" t="s">
        <v>29</v>
      </c>
      <c r="B128">
        <v>0.94703579999999998</v>
      </c>
      <c r="C128">
        <v>0.92215559999999996</v>
      </c>
      <c r="D128">
        <v>0.97258730000000004</v>
      </c>
      <c r="E128" s="1">
        <v>6.1689339999999995E-5</v>
      </c>
      <c r="F128" t="str">
        <f t="shared" si="27"/>
        <v>0.95(0.92-0.97)</v>
      </c>
      <c r="G128" t="str">
        <f t="shared" si="28"/>
        <v>&lt;0.001</v>
      </c>
      <c r="J128" t="s">
        <v>29</v>
      </c>
      <c r="K128">
        <v>0.95640700000000001</v>
      </c>
      <c r="L128">
        <v>0.93053019999999997</v>
      </c>
      <c r="M128">
        <v>0.98300330000000002</v>
      </c>
      <c r="N128" s="1">
        <v>1.44794E-3</v>
      </c>
      <c r="O128" t="str">
        <f t="shared" si="29"/>
        <v>0.96(0.93-0.98)</v>
      </c>
      <c r="P128">
        <f t="shared" si="30"/>
        <v>1E-3</v>
      </c>
      <c r="S128" t="s">
        <v>29</v>
      </c>
      <c r="T128">
        <v>0.98374589999999995</v>
      </c>
      <c r="U128">
        <v>0.95556649999999999</v>
      </c>
      <c r="V128">
        <v>1.0127562999999999</v>
      </c>
      <c r="W128" s="1">
        <v>0.26908759999999998</v>
      </c>
      <c r="X128" t="str">
        <f t="shared" si="31"/>
        <v>0.98(0.96-1.01)</v>
      </c>
      <c r="Y128">
        <f t="shared" si="32"/>
        <v>0.26900000000000002</v>
      </c>
    </row>
    <row r="129" spans="1:25" x14ac:dyDescent="0.3">
      <c r="A129" t="s">
        <v>30</v>
      </c>
      <c r="B129">
        <v>0.769123</v>
      </c>
      <c r="C129">
        <v>0.74938510000000003</v>
      </c>
      <c r="D129">
        <v>0.78938070000000005</v>
      </c>
      <c r="E129" s="1">
        <v>3.6227509999999998E-87</v>
      </c>
      <c r="F129" t="str">
        <f t="shared" si="27"/>
        <v>0.77(0.75-0.79)</v>
      </c>
      <c r="G129" t="str">
        <f t="shared" si="28"/>
        <v>&lt;0.001</v>
      </c>
      <c r="J129" t="s">
        <v>30</v>
      </c>
      <c r="K129">
        <v>0.78829830000000001</v>
      </c>
      <c r="L129">
        <v>0.76728580000000002</v>
      </c>
      <c r="M129">
        <v>0.8098862</v>
      </c>
      <c r="N129" s="1">
        <v>9.9242310000000003E-67</v>
      </c>
      <c r="O129" t="str">
        <f t="shared" si="29"/>
        <v>0.79(0.77-0.81)</v>
      </c>
      <c r="P129" t="str">
        <f t="shared" si="30"/>
        <v>&lt;0.001</v>
      </c>
      <c r="S129" t="s">
        <v>30</v>
      </c>
      <c r="T129">
        <v>0.86276430000000004</v>
      </c>
      <c r="U129">
        <v>0.83653189999999999</v>
      </c>
      <c r="V129">
        <v>0.88981940000000004</v>
      </c>
      <c r="W129" s="1">
        <v>0</v>
      </c>
      <c r="X129" t="str">
        <f t="shared" si="31"/>
        <v>0.86(0.84-0.89)</v>
      </c>
      <c r="Y129" t="str">
        <f t="shared" si="32"/>
        <v>&lt;0.001</v>
      </c>
    </row>
    <row r="133" spans="1:25" x14ac:dyDescent="0.3">
      <c r="X133" s="1"/>
    </row>
    <row r="134" spans="1:25" x14ac:dyDescent="0.3">
      <c r="X134" s="1"/>
    </row>
    <row r="135" spans="1:25" x14ac:dyDescent="0.3">
      <c r="X135" s="1"/>
    </row>
    <row r="136" spans="1:25" x14ac:dyDescent="0.3">
      <c r="X136" s="1"/>
    </row>
    <row r="137" spans="1:25" x14ac:dyDescent="0.3">
      <c r="X137" s="1"/>
    </row>
    <row r="138" spans="1:25" x14ac:dyDescent="0.3">
      <c r="X138" s="1"/>
    </row>
    <row r="139" spans="1:25" x14ac:dyDescent="0.3">
      <c r="X139" s="1"/>
    </row>
    <row r="140" spans="1:25" x14ac:dyDescent="0.3">
      <c r="X140" s="1"/>
    </row>
    <row r="141" spans="1:25" x14ac:dyDescent="0.3">
      <c r="X141" s="1"/>
    </row>
    <row r="142" spans="1:25" x14ac:dyDescent="0.3">
      <c r="X142" s="1"/>
    </row>
    <row r="143" spans="1:25" x14ac:dyDescent="0.3">
      <c r="X143" s="1"/>
    </row>
    <row r="144" spans="1:25" x14ac:dyDescent="0.3">
      <c r="X144" s="1"/>
    </row>
    <row r="145" spans="24:24" x14ac:dyDescent="0.3">
      <c r="X145" s="1"/>
    </row>
    <row r="146" spans="24:24" x14ac:dyDescent="0.3">
      <c r="X146" s="1"/>
    </row>
    <row r="147" spans="24:24" x14ac:dyDescent="0.3">
      <c r="X147" s="1"/>
    </row>
    <row r="148" spans="24:24" x14ac:dyDescent="0.3">
      <c r="X148" s="1"/>
    </row>
    <row r="149" spans="24:24" x14ac:dyDescent="0.3">
      <c r="X149" s="1"/>
    </row>
    <row r="150" spans="24:24" x14ac:dyDescent="0.3">
      <c r="X150" s="1"/>
    </row>
    <row r="151" spans="24:24" x14ac:dyDescent="0.3">
      <c r="X151" s="1"/>
    </row>
    <row r="152" spans="24:24" x14ac:dyDescent="0.3">
      <c r="X152" s="1"/>
    </row>
    <row r="153" spans="24:24" x14ac:dyDescent="0.3">
      <c r="X15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topLeftCell="N134" workbookViewId="0">
      <selection activeCell="Q136" sqref="Q136"/>
    </sheetView>
  </sheetViews>
  <sheetFormatPr defaultRowHeight="16.5" x14ac:dyDescent="0.3"/>
  <cols>
    <col min="1" max="1" width="39" bestFit="1" customWidth="1"/>
    <col min="2" max="4" width="10.5" bestFit="1" customWidth="1"/>
    <col min="5" max="5" width="14" bestFit="1" customWidth="1"/>
    <col min="6" max="6" width="16.25" bestFit="1" customWidth="1"/>
    <col min="7" max="7" width="12.125" bestFit="1" customWidth="1"/>
    <col min="10" max="10" width="41.875" bestFit="1" customWidth="1"/>
    <col min="15" max="15" width="17.375" bestFit="1" customWidth="1"/>
    <col min="16" max="16" width="12.125" bestFit="1" customWidth="1"/>
    <col min="19" max="19" width="36.875" bestFit="1" customWidth="1"/>
    <col min="24" max="24" width="17.375" bestFit="1" customWidth="1"/>
    <col min="25" max="25" width="12.125" bestFit="1" customWidth="1"/>
  </cols>
  <sheetData>
    <row r="1" spans="1:25" x14ac:dyDescent="0.3">
      <c r="A1" t="s">
        <v>58</v>
      </c>
      <c r="J1" t="s">
        <v>59</v>
      </c>
      <c r="S1" t="s">
        <v>60</v>
      </c>
    </row>
    <row r="2" spans="1:25" x14ac:dyDescent="0.3">
      <c r="B2" t="s">
        <v>61</v>
      </c>
      <c r="C2" t="s">
        <v>62</v>
      </c>
      <c r="D2" t="s">
        <v>63</v>
      </c>
      <c r="E2" t="s">
        <v>64</v>
      </c>
      <c r="F2" t="s">
        <v>6</v>
      </c>
      <c r="G2" t="s">
        <v>65</v>
      </c>
      <c r="K2" t="s">
        <v>3</v>
      </c>
      <c r="L2" t="s">
        <v>4</v>
      </c>
      <c r="M2" t="s">
        <v>5</v>
      </c>
      <c r="N2" t="s">
        <v>8</v>
      </c>
      <c r="O2" t="s">
        <v>6</v>
      </c>
      <c r="P2" t="s">
        <v>66</v>
      </c>
      <c r="T2" t="s">
        <v>3</v>
      </c>
      <c r="U2" t="s">
        <v>4</v>
      </c>
      <c r="V2" t="s">
        <v>5</v>
      </c>
      <c r="W2" t="s">
        <v>67</v>
      </c>
      <c r="X2" t="s">
        <v>6</v>
      </c>
      <c r="Y2" t="s">
        <v>68</v>
      </c>
    </row>
    <row r="3" spans="1:25" x14ac:dyDescent="0.3">
      <c r="A3" t="s">
        <v>69</v>
      </c>
      <c r="B3">
        <v>0.54357250000000001</v>
      </c>
      <c r="C3">
        <v>0.49076950000000003</v>
      </c>
      <c r="D3">
        <v>0.6020567</v>
      </c>
      <c r="E3" s="1">
        <v>1.402004E-31</v>
      </c>
      <c r="F3" t="str">
        <f>ROUND(B3,2)&amp;"("&amp;ROUND(C3,2)&amp;"-"&amp;ROUND(D3,2)&amp;")"</f>
        <v>0.54(0.49-0.6)</v>
      </c>
      <c r="G3" t="str">
        <f>IF(E3&lt;0.001,"&lt;0.001",ROUND(E3,3))</f>
        <v>&lt;0.001</v>
      </c>
      <c r="J3" t="s">
        <v>69</v>
      </c>
      <c r="K3">
        <v>0.55735690000000004</v>
      </c>
      <c r="L3">
        <v>0.50147839999999999</v>
      </c>
      <c r="M3">
        <v>0.6194617</v>
      </c>
      <c r="N3" s="1">
        <v>2.1118969999999998E-27</v>
      </c>
      <c r="O3" t="str">
        <f>ROUND(K3,2)&amp;"("&amp;ROUND(L3,2)&amp;"-"&amp;ROUND(M3,2)&amp;")"</f>
        <v>0.56(0.5-0.62)</v>
      </c>
      <c r="P3" t="str">
        <f>IF(N3&lt;0.001,"&lt;0.001",ROUND(N3,3))</f>
        <v>&lt;0.001</v>
      </c>
      <c r="S3" t="s">
        <v>69</v>
      </c>
      <c r="T3">
        <v>0.57487259999999996</v>
      </c>
      <c r="U3">
        <v>0.52029250000000005</v>
      </c>
      <c r="V3">
        <v>0.63517840000000003</v>
      </c>
      <c r="W3">
        <v>0</v>
      </c>
      <c r="X3" t="str">
        <f>ROUND(T3,2)&amp;"("&amp;ROUND(U3,2)&amp;"-"&amp;ROUND(V3,2)&amp;")"</f>
        <v>0.57(0.52-0.64)</v>
      </c>
      <c r="Y3" t="str">
        <f>IF(W3&lt;0.001,"&lt;0.001",ROUND(W3,3))</f>
        <v>&lt;0.001</v>
      </c>
    </row>
    <row r="4" spans="1:25" x14ac:dyDescent="0.3">
      <c r="A4" t="s">
        <v>9</v>
      </c>
      <c r="B4">
        <v>1.039107</v>
      </c>
      <c r="C4">
        <v>1.0372939999999999</v>
      </c>
      <c r="D4">
        <v>1.040924</v>
      </c>
      <c r="E4">
        <v>0</v>
      </c>
      <c r="F4" t="str">
        <f t="shared" ref="F4:F24" si="0">ROUND(B4,2)&amp;"("&amp;ROUND(C4,2)&amp;"-"&amp;ROUND(D4,2)&amp;")"</f>
        <v>1.04(1.04-1.04)</v>
      </c>
      <c r="G4" t="str">
        <f t="shared" ref="G4:G24" si="1">IF(E4&lt;0.001,"&lt;0.001",ROUND(E4,3))</f>
        <v>&lt;0.001</v>
      </c>
      <c r="J4" t="s">
        <v>9</v>
      </c>
      <c r="K4">
        <v>1.0366759999999999</v>
      </c>
      <c r="L4">
        <v>1.0347999999999999</v>
      </c>
      <c r="M4">
        <v>1.0385549999999999</v>
      </c>
      <c r="N4">
        <v>0</v>
      </c>
      <c r="O4" t="str">
        <f t="shared" ref="O4:O24" si="2">ROUND(K4,2)&amp;"("&amp;ROUND(L4,2)&amp;"-"&amp;ROUND(M4,2)&amp;")"</f>
        <v>1.04(1.03-1.04)</v>
      </c>
      <c r="P4" t="str">
        <f t="shared" ref="P4:P24" si="3">IF(N4&lt;0.001,"&lt;0.001",ROUND(N4,3))</f>
        <v>&lt;0.001</v>
      </c>
      <c r="S4" t="s">
        <v>9</v>
      </c>
      <c r="T4">
        <v>1.033277</v>
      </c>
      <c r="U4">
        <v>1.031412</v>
      </c>
      <c r="V4">
        <v>1.0351459999999999</v>
      </c>
      <c r="W4">
        <v>0</v>
      </c>
      <c r="X4" t="str">
        <f t="shared" ref="X4:X24" si="4">ROUND(T4,2)&amp;"("&amp;ROUND(U4,2)&amp;"-"&amp;ROUND(V4,2)&amp;")"</f>
        <v>1.03(1.03-1.04)</v>
      </c>
      <c r="Y4" t="str">
        <f t="shared" ref="Y4:Y24" si="5">IF(W4&lt;0.001,"&lt;0.001",ROUND(W4,3))</f>
        <v>&lt;0.001</v>
      </c>
    </row>
    <row r="5" spans="1:25" x14ac:dyDescent="0.3">
      <c r="A5" t="s">
        <v>10</v>
      </c>
      <c r="B5">
        <v>1.0212680000000001</v>
      </c>
      <c r="C5">
        <v>0.92365390000000003</v>
      </c>
      <c r="D5">
        <v>1.1291979999999999</v>
      </c>
      <c r="E5">
        <v>0.6813842</v>
      </c>
      <c r="F5" t="str">
        <f t="shared" si="0"/>
        <v>1.02(0.92-1.13)</v>
      </c>
      <c r="G5">
        <f t="shared" si="1"/>
        <v>0.68100000000000005</v>
      </c>
      <c r="J5" t="s">
        <v>10</v>
      </c>
      <c r="K5">
        <v>1.0074270000000001</v>
      </c>
      <c r="L5">
        <v>0.90802139999999998</v>
      </c>
      <c r="M5">
        <v>1.117715</v>
      </c>
      <c r="N5">
        <v>0.88897440000000005</v>
      </c>
      <c r="O5" t="str">
        <f t="shared" si="2"/>
        <v>1.01(0.91-1.12)</v>
      </c>
      <c r="P5">
        <f t="shared" si="3"/>
        <v>0.88900000000000001</v>
      </c>
      <c r="S5" t="s">
        <v>10</v>
      </c>
      <c r="T5">
        <v>1.0077590000000001</v>
      </c>
      <c r="U5">
        <v>0.9112905</v>
      </c>
      <c r="V5">
        <v>1.1144400000000001</v>
      </c>
      <c r="W5">
        <v>0.88032379999999999</v>
      </c>
      <c r="X5" t="str">
        <f t="shared" si="4"/>
        <v>1.01(0.91-1.11)</v>
      </c>
      <c r="Y5">
        <f t="shared" si="5"/>
        <v>0.88</v>
      </c>
    </row>
    <row r="6" spans="1:25" x14ac:dyDescent="0.3">
      <c r="A6" t="s">
        <v>49</v>
      </c>
      <c r="B6">
        <v>1.2061200000000001</v>
      </c>
      <c r="C6">
        <v>1.1753640000000001</v>
      </c>
      <c r="D6">
        <v>1.237681</v>
      </c>
      <c r="E6" s="1">
        <v>6.8835699999999999E-46</v>
      </c>
      <c r="F6" t="str">
        <f t="shared" si="0"/>
        <v>1.21(1.18-1.24)</v>
      </c>
      <c r="G6" t="str">
        <f t="shared" si="1"/>
        <v>&lt;0.001</v>
      </c>
      <c r="J6" t="s">
        <v>49</v>
      </c>
      <c r="K6">
        <v>1.22132</v>
      </c>
      <c r="L6">
        <v>1.1888639999999999</v>
      </c>
      <c r="M6">
        <v>1.2546619999999999</v>
      </c>
      <c r="N6" s="1">
        <v>5.9320810000000004E-48</v>
      </c>
      <c r="O6" t="str">
        <f t="shared" si="2"/>
        <v>1.22(1.19-1.25)</v>
      </c>
      <c r="P6" t="str">
        <f t="shared" si="3"/>
        <v>&lt;0.001</v>
      </c>
      <c r="S6" t="s">
        <v>49</v>
      </c>
      <c r="T6">
        <v>1.213519</v>
      </c>
      <c r="U6">
        <v>1.181287</v>
      </c>
      <c r="V6">
        <v>1.2466299999999999</v>
      </c>
      <c r="W6">
        <v>0</v>
      </c>
      <c r="X6" t="str">
        <f t="shared" si="4"/>
        <v>1.21(1.18-1.25)</v>
      </c>
      <c r="Y6" t="str">
        <f t="shared" si="5"/>
        <v>&lt;0.001</v>
      </c>
    </row>
    <row r="7" spans="1:25" x14ac:dyDescent="0.3">
      <c r="A7" t="s">
        <v>13</v>
      </c>
      <c r="B7">
        <v>1.0028159999999999</v>
      </c>
      <c r="C7">
        <v>1.002173</v>
      </c>
      <c r="D7">
        <v>1.003458</v>
      </c>
      <c r="E7" s="1">
        <v>7.9658430000000002E-18</v>
      </c>
      <c r="F7" t="str">
        <f t="shared" si="0"/>
        <v>1(1-1)</v>
      </c>
      <c r="G7" t="str">
        <f t="shared" si="1"/>
        <v>&lt;0.001</v>
      </c>
      <c r="J7" t="s">
        <v>13</v>
      </c>
      <c r="K7">
        <v>1.0027090000000001</v>
      </c>
      <c r="L7">
        <v>1.002038</v>
      </c>
      <c r="M7">
        <v>1.003379</v>
      </c>
      <c r="N7" s="1">
        <v>2.2237279999999999E-15</v>
      </c>
      <c r="O7" t="str">
        <f t="shared" si="2"/>
        <v>1(1-1)</v>
      </c>
      <c r="P7" t="str">
        <f t="shared" si="3"/>
        <v>&lt;0.001</v>
      </c>
      <c r="S7" t="s">
        <v>13</v>
      </c>
      <c r="T7">
        <v>1.0025550000000001</v>
      </c>
      <c r="U7">
        <v>1.0018879999999999</v>
      </c>
      <c r="V7">
        <v>1.0032220000000001</v>
      </c>
      <c r="W7" s="1">
        <v>5.7287509999999995E-14</v>
      </c>
      <c r="X7" t="str">
        <f t="shared" si="4"/>
        <v>1(1-1)</v>
      </c>
      <c r="Y7" t="str">
        <f t="shared" si="5"/>
        <v>&lt;0.001</v>
      </c>
    </row>
    <row r="8" spans="1:25" x14ac:dyDescent="0.3">
      <c r="A8" t="s">
        <v>14</v>
      </c>
      <c r="B8">
        <v>0.94597290000000001</v>
      </c>
      <c r="C8">
        <v>0.94118239999999997</v>
      </c>
      <c r="D8">
        <v>0.95078779999999996</v>
      </c>
      <c r="E8" s="1">
        <v>5.4644159999999998E-102</v>
      </c>
      <c r="F8" t="str">
        <f t="shared" si="0"/>
        <v>0.95(0.94-0.95)</v>
      </c>
      <c r="G8" t="str">
        <f t="shared" si="1"/>
        <v>&lt;0.001</v>
      </c>
      <c r="J8" t="s">
        <v>14</v>
      </c>
      <c r="K8">
        <v>0.94694060000000002</v>
      </c>
      <c r="L8">
        <v>0.94195099999999998</v>
      </c>
      <c r="M8">
        <v>0.95195660000000004</v>
      </c>
      <c r="N8" s="1">
        <v>5.8119630000000004E-91</v>
      </c>
      <c r="O8" t="str">
        <f t="shared" si="2"/>
        <v>0.95(0.94-0.95)</v>
      </c>
      <c r="P8" t="str">
        <f t="shared" si="3"/>
        <v>&lt;0.001</v>
      </c>
      <c r="S8" t="s">
        <v>14</v>
      </c>
      <c r="T8">
        <v>0.95105019999999996</v>
      </c>
      <c r="U8">
        <v>0.9460404</v>
      </c>
      <c r="V8">
        <v>0.9560864</v>
      </c>
      <c r="W8">
        <v>0</v>
      </c>
      <c r="X8" t="str">
        <f t="shared" si="4"/>
        <v>0.95(0.95-0.96)</v>
      </c>
      <c r="Y8" t="str">
        <f t="shared" si="5"/>
        <v>&lt;0.001</v>
      </c>
    </row>
    <row r="9" spans="1:25" x14ac:dyDescent="0.3">
      <c r="A9" t="s">
        <v>15</v>
      </c>
      <c r="B9">
        <v>0.94006369999999995</v>
      </c>
      <c r="C9">
        <v>0.89892729999999998</v>
      </c>
      <c r="D9">
        <v>0.98308260000000003</v>
      </c>
      <c r="E9" s="1">
        <v>6.7827269999999997E-3</v>
      </c>
      <c r="F9" t="str">
        <f t="shared" si="0"/>
        <v>0.94(0.9-0.98)</v>
      </c>
      <c r="G9">
        <f t="shared" si="1"/>
        <v>7.0000000000000001E-3</v>
      </c>
      <c r="J9" t="s">
        <v>15</v>
      </c>
      <c r="K9">
        <v>0.94439609999999996</v>
      </c>
      <c r="L9">
        <v>0.90147299999999997</v>
      </c>
      <c r="M9">
        <v>0.98936310000000005</v>
      </c>
      <c r="N9" s="1">
        <v>1.5928129999999999E-2</v>
      </c>
      <c r="O9" t="str">
        <f t="shared" si="2"/>
        <v>0.94(0.9-0.99)</v>
      </c>
      <c r="P9">
        <f t="shared" si="3"/>
        <v>1.6E-2</v>
      </c>
      <c r="S9" t="s">
        <v>15</v>
      </c>
      <c r="T9">
        <v>0.95377809999999996</v>
      </c>
      <c r="U9">
        <v>0.91045980000000004</v>
      </c>
      <c r="V9">
        <v>0.99915739999999997</v>
      </c>
      <c r="W9" s="1">
        <v>4.5983650000000001E-2</v>
      </c>
      <c r="X9" t="str">
        <f t="shared" si="4"/>
        <v>0.95(0.91-1)</v>
      </c>
      <c r="Y9">
        <f t="shared" si="5"/>
        <v>4.5999999999999999E-2</v>
      </c>
    </row>
    <row r="10" spans="1:25" x14ac:dyDescent="0.3">
      <c r="A10" t="s">
        <v>16</v>
      </c>
      <c r="B10">
        <v>0.92679100000000003</v>
      </c>
      <c r="C10">
        <v>0.88797729999999997</v>
      </c>
      <c r="D10">
        <v>0.96730139999999998</v>
      </c>
      <c r="E10" s="1">
        <v>4.9579330000000001E-4</v>
      </c>
      <c r="F10" t="str">
        <f t="shared" si="0"/>
        <v>0.93(0.89-0.97)</v>
      </c>
      <c r="G10" t="str">
        <f t="shared" si="1"/>
        <v>&lt;0.001</v>
      </c>
      <c r="J10" t="s">
        <v>16</v>
      </c>
      <c r="K10">
        <v>0.92572900000000002</v>
      </c>
      <c r="L10">
        <v>0.88539570000000001</v>
      </c>
      <c r="M10">
        <v>0.96789970000000003</v>
      </c>
      <c r="N10" s="1">
        <v>6.8510399999999996E-4</v>
      </c>
      <c r="O10" t="str">
        <f t="shared" si="2"/>
        <v>0.93(0.89-0.97)</v>
      </c>
      <c r="P10" t="str">
        <f t="shared" si="3"/>
        <v>&lt;0.001</v>
      </c>
      <c r="S10" t="s">
        <v>16</v>
      </c>
      <c r="T10">
        <v>0.93345069999999997</v>
      </c>
      <c r="U10">
        <v>0.89286370000000004</v>
      </c>
      <c r="V10">
        <v>0.97588269999999999</v>
      </c>
      <c r="W10" s="1">
        <v>2.3944499999999998E-3</v>
      </c>
      <c r="X10" t="str">
        <f t="shared" si="4"/>
        <v>0.93(0.89-0.98)</v>
      </c>
      <c r="Y10">
        <f t="shared" si="5"/>
        <v>2E-3</v>
      </c>
    </row>
    <row r="11" spans="1:25" x14ac:dyDescent="0.3">
      <c r="A11" t="s">
        <v>17</v>
      </c>
      <c r="B11">
        <v>0.92231560000000001</v>
      </c>
      <c r="C11">
        <v>0.88682320000000003</v>
      </c>
      <c r="D11">
        <v>0.95922839999999998</v>
      </c>
      <c r="E11" s="1">
        <v>5.3676669999999998E-5</v>
      </c>
      <c r="F11" t="str">
        <f t="shared" si="0"/>
        <v>0.92(0.89-0.96)</v>
      </c>
      <c r="G11" t="str">
        <f t="shared" si="1"/>
        <v>&lt;0.001</v>
      </c>
      <c r="J11" t="s">
        <v>17</v>
      </c>
      <c r="K11">
        <v>0.92233189999999998</v>
      </c>
      <c r="L11">
        <v>0.88541340000000002</v>
      </c>
      <c r="M11">
        <v>0.96078969999999997</v>
      </c>
      <c r="N11" s="1">
        <v>1.0483960000000001E-4</v>
      </c>
      <c r="O11" t="str">
        <f t="shared" si="2"/>
        <v>0.92(0.89-0.96)</v>
      </c>
      <c r="P11" t="str">
        <f t="shared" si="3"/>
        <v>&lt;0.001</v>
      </c>
      <c r="S11" t="s">
        <v>17</v>
      </c>
      <c r="T11">
        <v>0.92768589999999995</v>
      </c>
      <c r="U11">
        <v>0.89056639999999998</v>
      </c>
      <c r="V11">
        <v>0.96635260000000001</v>
      </c>
      <c r="W11" s="1">
        <v>3.1483010000000003E-4</v>
      </c>
      <c r="X11" t="str">
        <f t="shared" si="4"/>
        <v>0.93(0.89-0.97)</v>
      </c>
      <c r="Y11" t="str">
        <f t="shared" si="5"/>
        <v>&lt;0.001</v>
      </c>
    </row>
    <row r="12" spans="1:25" x14ac:dyDescent="0.3">
      <c r="A12" t="s">
        <v>18</v>
      </c>
      <c r="B12">
        <v>0.87870210000000004</v>
      </c>
      <c r="C12">
        <v>0.84663960000000005</v>
      </c>
      <c r="D12">
        <v>0.91197890000000004</v>
      </c>
      <c r="E12" s="1">
        <v>9.2139360000000003E-12</v>
      </c>
      <c r="F12" t="str">
        <f t="shared" si="0"/>
        <v>0.88(0.85-0.91)</v>
      </c>
      <c r="G12" t="str">
        <f t="shared" si="1"/>
        <v>&lt;0.001</v>
      </c>
      <c r="J12" t="s">
        <v>18</v>
      </c>
      <c r="K12">
        <v>0.87493430000000005</v>
      </c>
      <c r="L12">
        <v>0.8416922</v>
      </c>
      <c r="M12">
        <v>0.90948929999999995</v>
      </c>
      <c r="N12" s="1">
        <v>1.375219E-11</v>
      </c>
      <c r="O12" t="str">
        <f t="shared" si="2"/>
        <v>0.87(0.84-0.91)</v>
      </c>
      <c r="P12" t="str">
        <f t="shared" si="3"/>
        <v>&lt;0.001</v>
      </c>
      <c r="S12" t="s">
        <v>18</v>
      </c>
      <c r="T12">
        <v>0.88399669999999997</v>
      </c>
      <c r="U12">
        <v>0.85026179999999996</v>
      </c>
      <c r="V12">
        <v>0.91907000000000005</v>
      </c>
      <c r="W12" s="1">
        <v>5.2578940000000002E-10</v>
      </c>
      <c r="X12" t="str">
        <f t="shared" si="4"/>
        <v>0.88(0.85-0.92)</v>
      </c>
      <c r="Y12" t="str">
        <f t="shared" si="5"/>
        <v>&lt;0.001</v>
      </c>
    </row>
    <row r="13" spans="1:25" x14ac:dyDescent="0.3">
      <c r="A13" t="s">
        <v>19</v>
      </c>
      <c r="B13">
        <v>1.1470009999999999</v>
      </c>
      <c r="C13">
        <v>1.1064609999999999</v>
      </c>
      <c r="D13">
        <v>1.189028</v>
      </c>
      <c r="E13" s="1">
        <v>8.0102369999999997E-14</v>
      </c>
      <c r="F13" t="str">
        <f t="shared" si="0"/>
        <v>1.15(1.11-1.19)</v>
      </c>
      <c r="G13" t="str">
        <f t="shared" si="1"/>
        <v>&lt;0.001</v>
      </c>
      <c r="J13" t="s">
        <v>19</v>
      </c>
      <c r="K13">
        <v>1.135704</v>
      </c>
      <c r="L13">
        <v>1.0941099999999999</v>
      </c>
      <c r="M13">
        <v>1.1788799999999999</v>
      </c>
      <c r="N13" s="1">
        <v>2.317209E-11</v>
      </c>
      <c r="O13" t="str">
        <f t="shared" si="2"/>
        <v>1.14(1.09-1.18)</v>
      </c>
      <c r="P13" t="str">
        <f t="shared" si="3"/>
        <v>&lt;0.001</v>
      </c>
      <c r="S13" t="s">
        <v>19</v>
      </c>
      <c r="T13">
        <v>1.1264339999999999</v>
      </c>
      <c r="U13">
        <v>1.086157</v>
      </c>
      <c r="V13">
        <v>1.1682049999999999</v>
      </c>
      <c r="W13" s="1">
        <v>1.4663290000000001E-10</v>
      </c>
      <c r="X13" t="str">
        <f t="shared" si="4"/>
        <v>1.13(1.09-1.17)</v>
      </c>
      <c r="Y13" t="str">
        <f t="shared" si="5"/>
        <v>&lt;0.001</v>
      </c>
    </row>
    <row r="14" spans="1:25" x14ac:dyDescent="0.3">
      <c r="A14" t="s">
        <v>20</v>
      </c>
      <c r="B14">
        <v>1.2950539999999999</v>
      </c>
      <c r="C14">
        <v>1.2335119999999999</v>
      </c>
      <c r="D14">
        <v>1.359666</v>
      </c>
      <c r="E14" s="1">
        <v>2.2683190000000001E-25</v>
      </c>
      <c r="F14" t="str">
        <f t="shared" si="0"/>
        <v>1.3(1.23-1.36)</v>
      </c>
      <c r="G14" t="str">
        <f t="shared" si="1"/>
        <v>&lt;0.001</v>
      </c>
      <c r="J14" t="s">
        <v>20</v>
      </c>
      <c r="K14">
        <v>1.235147</v>
      </c>
      <c r="L14">
        <v>1.1736519999999999</v>
      </c>
      <c r="M14">
        <v>1.299865</v>
      </c>
      <c r="N14" s="1">
        <v>5.2742229999999998E-16</v>
      </c>
      <c r="O14" t="str">
        <f t="shared" si="2"/>
        <v>1.24(1.17-1.3)</v>
      </c>
      <c r="P14" t="str">
        <f t="shared" si="3"/>
        <v>&lt;0.001</v>
      </c>
      <c r="S14" t="s">
        <v>20</v>
      </c>
      <c r="T14">
        <v>1.1969510000000001</v>
      </c>
      <c r="U14">
        <v>1.1375519999999999</v>
      </c>
      <c r="V14">
        <v>1.259452</v>
      </c>
      <c r="W14" s="1">
        <v>4.4284580000000004E-12</v>
      </c>
      <c r="X14" t="str">
        <f t="shared" si="4"/>
        <v>1.2(1.14-1.26)</v>
      </c>
      <c r="Y14" t="str">
        <f t="shared" si="5"/>
        <v>&lt;0.001</v>
      </c>
    </row>
    <row r="15" spans="1:25" x14ac:dyDescent="0.3">
      <c r="A15" t="s">
        <v>21</v>
      </c>
      <c r="B15">
        <v>1.849189</v>
      </c>
      <c r="C15">
        <v>1.769536</v>
      </c>
      <c r="D15">
        <v>1.932428</v>
      </c>
      <c r="E15" s="1">
        <v>7.1383720000000001E-165</v>
      </c>
      <c r="F15" t="str">
        <f t="shared" si="0"/>
        <v>1.85(1.77-1.93)</v>
      </c>
      <c r="G15" t="str">
        <f t="shared" si="1"/>
        <v>&lt;0.001</v>
      </c>
      <c r="J15" t="s">
        <v>21</v>
      </c>
      <c r="K15">
        <v>1.813768</v>
      </c>
      <c r="L15">
        <v>1.7326969999999999</v>
      </c>
      <c r="M15">
        <v>1.898631</v>
      </c>
      <c r="N15" s="1">
        <v>1.169765E-143</v>
      </c>
      <c r="O15" t="str">
        <f t="shared" si="2"/>
        <v>1.81(1.73-1.9)</v>
      </c>
      <c r="P15" t="str">
        <f t="shared" si="3"/>
        <v>&lt;0.001</v>
      </c>
      <c r="S15" t="s">
        <v>21</v>
      </c>
      <c r="T15">
        <v>1.7261010000000001</v>
      </c>
      <c r="U15">
        <v>1.6469689999999999</v>
      </c>
      <c r="V15">
        <v>1.809034</v>
      </c>
      <c r="W15" s="1">
        <v>0</v>
      </c>
      <c r="X15" t="str">
        <f t="shared" si="4"/>
        <v>1.73(1.65-1.81)</v>
      </c>
      <c r="Y15" t="str">
        <f t="shared" si="5"/>
        <v>&lt;0.001</v>
      </c>
    </row>
    <row r="16" spans="1:25" x14ac:dyDescent="0.3">
      <c r="A16" t="s">
        <v>22</v>
      </c>
      <c r="B16">
        <v>0.85745349999999998</v>
      </c>
      <c r="C16">
        <v>0.83092650000000001</v>
      </c>
      <c r="D16">
        <v>0.88482729999999998</v>
      </c>
      <c r="E16" s="1">
        <v>8.6779170000000002E-22</v>
      </c>
      <c r="F16" t="str">
        <f t="shared" si="0"/>
        <v>0.86(0.83-0.88)</v>
      </c>
      <c r="G16" t="str">
        <f t="shared" si="1"/>
        <v>&lt;0.001</v>
      </c>
      <c r="J16" t="s">
        <v>22</v>
      </c>
      <c r="K16">
        <v>0.85771620000000004</v>
      </c>
      <c r="L16">
        <v>0.83008910000000002</v>
      </c>
      <c r="M16">
        <v>0.88626289999999996</v>
      </c>
      <c r="N16" s="1">
        <v>4.0011199999999999E-20</v>
      </c>
      <c r="O16" t="str">
        <f t="shared" si="2"/>
        <v>0.86(0.83-0.89)</v>
      </c>
      <c r="P16" t="str">
        <f t="shared" si="3"/>
        <v>&lt;0.001</v>
      </c>
      <c r="S16" t="s">
        <v>22</v>
      </c>
      <c r="T16">
        <v>0.8648827</v>
      </c>
      <c r="U16">
        <v>0.83711049999999998</v>
      </c>
      <c r="V16">
        <v>0.89357629999999999</v>
      </c>
      <c r="W16">
        <v>0</v>
      </c>
      <c r="X16" t="str">
        <f t="shared" si="4"/>
        <v>0.86(0.84-0.89)</v>
      </c>
      <c r="Y16" t="str">
        <f t="shared" si="5"/>
        <v>&lt;0.001</v>
      </c>
    </row>
    <row r="17" spans="1:25" x14ac:dyDescent="0.3">
      <c r="A17" t="s">
        <v>23</v>
      </c>
      <c r="B17">
        <v>0.55657540000000005</v>
      </c>
      <c r="C17">
        <v>0.53896429999999995</v>
      </c>
      <c r="D17">
        <v>0.574762</v>
      </c>
      <c r="E17" s="1">
        <v>2.0960409999999998E-279</v>
      </c>
      <c r="F17" t="str">
        <f t="shared" si="0"/>
        <v>0.56(0.54-0.57)</v>
      </c>
      <c r="G17" t="str">
        <f t="shared" si="1"/>
        <v>&lt;0.001</v>
      </c>
      <c r="J17" t="s">
        <v>23</v>
      </c>
      <c r="K17">
        <v>0.53601319999999997</v>
      </c>
      <c r="L17">
        <v>0.51863029999999999</v>
      </c>
      <c r="M17">
        <v>0.55397879999999999</v>
      </c>
      <c r="N17" s="1">
        <v>7.4936899999999992E-301</v>
      </c>
      <c r="O17" t="str">
        <f t="shared" si="2"/>
        <v>0.54(0.52-0.55)</v>
      </c>
      <c r="P17" t="str">
        <f t="shared" si="3"/>
        <v>&lt;0.001</v>
      </c>
      <c r="S17" t="s">
        <v>23</v>
      </c>
      <c r="T17">
        <v>0.5418423</v>
      </c>
      <c r="U17">
        <v>0.52520029999999995</v>
      </c>
      <c r="V17">
        <v>0.55901149999999999</v>
      </c>
      <c r="W17">
        <v>0</v>
      </c>
      <c r="X17" t="str">
        <f t="shared" si="4"/>
        <v>0.54(0.53-0.56)</v>
      </c>
      <c r="Y17" t="str">
        <f t="shared" si="5"/>
        <v>&lt;0.001</v>
      </c>
    </row>
    <row r="18" spans="1:25" x14ac:dyDescent="0.3">
      <c r="A18" t="s">
        <v>24</v>
      </c>
      <c r="B18">
        <v>1.796702</v>
      </c>
      <c r="C18">
        <v>1.739851</v>
      </c>
      <c r="D18">
        <v>1.85541</v>
      </c>
      <c r="E18" s="1">
        <v>2.0960409999999998E-279</v>
      </c>
      <c r="F18" t="str">
        <f t="shared" si="0"/>
        <v>1.8(1.74-1.86)</v>
      </c>
      <c r="G18" t="str">
        <f t="shared" si="1"/>
        <v>&lt;0.001</v>
      </c>
      <c r="J18" t="s">
        <v>24</v>
      </c>
      <c r="K18">
        <v>1.865626</v>
      </c>
      <c r="L18">
        <v>1.805123</v>
      </c>
      <c r="M18">
        <v>1.928156</v>
      </c>
      <c r="N18" s="1">
        <v>7.4936899999999992E-301</v>
      </c>
      <c r="O18" t="str">
        <f t="shared" si="2"/>
        <v>1.87(1.81-1.93)</v>
      </c>
      <c r="P18" t="str">
        <f t="shared" si="3"/>
        <v>&lt;0.001</v>
      </c>
      <c r="S18" t="s">
        <v>24</v>
      </c>
      <c r="T18">
        <v>1.845556</v>
      </c>
      <c r="U18">
        <v>1.788872</v>
      </c>
      <c r="V18">
        <v>1.9040349999999999</v>
      </c>
      <c r="W18">
        <v>0</v>
      </c>
      <c r="X18" t="str">
        <f t="shared" si="4"/>
        <v>1.85(1.79-1.9)</v>
      </c>
      <c r="Y18" t="str">
        <f t="shared" si="5"/>
        <v>&lt;0.001</v>
      </c>
    </row>
    <row r="19" spans="1:25" x14ac:dyDescent="0.3">
      <c r="A19" t="s">
        <v>25</v>
      </c>
      <c r="B19">
        <v>2.0193120000000002</v>
      </c>
      <c r="C19">
        <v>1.9320809999999999</v>
      </c>
      <c r="D19">
        <v>2.1104820000000002</v>
      </c>
      <c r="E19" s="1">
        <v>1.407634E-213</v>
      </c>
      <c r="F19" t="str">
        <f t="shared" si="0"/>
        <v>2.02(1.93-2.11)</v>
      </c>
      <c r="G19" t="str">
        <f t="shared" si="1"/>
        <v>&lt;0.001</v>
      </c>
      <c r="J19" t="s">
        <v>25</v>
      </c>
      <c r="K19">
        <v>2.3198530000000002</v>
      </c>
      <c r="L19">
        <v>2.2093539999999998</v>
      </c>
      <c r="M19">
        <v>2.4358789999999999</v>
      </c>
      <c r="N19" s="1">
        <v>2.34521E-250</v>
      </c>
      <c r="O19" t="str">
        <f t="shared" si="2"/>
        <v>2.32(2.21-2.44)</v>
      </c>
      <c r="P19" t="str">
        <f t="shared" si="3"/>
        <v>&lt;0.001</v>
      </c>
      <c r="S19" t="s">
        <v>25</v>
      </c>
      <c r="T19">
        <v>2.2931780000000002</v>
      </c>
      <c r="U19">
        <v>2.1859299999999999</v>
      </c>
      <c r="V19">
        <v>2.405688</v>
      </c>
      <c r="W19">
        <v>0</v>
      </c>
      <c r="X19" t="str">
        <f t="shared" si="4"/>
        <v>2.29(2.19-2.41)</v>
      </c>
      <c r="Y19" t="str">
        <f t="shared" si="5"/>
        <v>&lt;0.001</v>
      </c>
    </row>
    <row r="20" spans="1:25" x14ac:dyDescent="0.3">
      <c r="A20" t="s">
        <v>26</v>
      </c>
      <c r="B20">
        <v>5.7520309999999997</v>
      </c>
      <c r="C20">
        <v>5.5157080000000001</v>
      </c>
      <c r="D20">
        <v>5.9984789999999997</v>
      </c>
      <c r="E20" s="1">
        <v>0</v>
      </c>
      <c r="F20" t="str">
        <f t="shared" si="0"/>
        <v>5.75(5.52-6)</v>
      </c>
      <c r="G20" t="str">
        <f t="shared" si="1"/>
        <v>&lt;0.001</v>
      </c>
      <c r="J20" t="s">
        <v>26</v>
      </c>
      <c r="K20">
        <v>6.8680370000000002</v>
      </c>
      <c r="L20">
        <v>6.5568980000000003</v>
      </c>
      <c r="M20">
        <v>7.1939409999999997</v>
      </c>
      <c r="N20" s="1">
        <v>0</v>
      </c>
      <c r="O20" t="str">
        <f t="shared" si="2"/>
        <v>6.87(6.56-7.19)</v>
      </c>
      <c r="P20" t="str">
        <f t="shared" si="3"/>
        <v>&lt;0.001</v>
      </c>
      <c r="S20" t="s">
        <v>26</v>
      </c>
      <c r="T20">
        <v>6.4356489999999997</v>
      </c>
      <c r="U20">
        <v>6.1463890000000001</v>
      </c>
      <c r="V20">
        <v>6.7385219999999997</v>
      </c>
      <c r="W20">
        <v>0</v>
      </c>
      <c r="X20" t="str">
        <f t="shared" si="4"/>
        <v>6.44(6.15-6.74)</v>
      </c>
      <c r="Y20" t="str">
        <f t="shared" si="5"/>
        <v>&lt;0.001</v>
      </c>
    </row>
    <row r="21" spans="1:25" x14ac:dyDescent="0.3">
      <c r="A21" t="s">
        <v>27</v>
      </c>
      <c r="B21">
        <v>3.1343899999999998</v>
      </c>
      <c r="C21">
        <v>2.9449890000000001</v>
      </c>
      <c r="D21">
        <v>3.3359709999999998</v>
      </c>
      <c r="E21" s="1">
        <v>1.282E-282</v>
      </c>
      <c r="F21" t="str">
        <f t="shared" si="0"/>
        <v>3.13(2.94-3.34)</v>
      </c>
      <c r="G21" t="str">
        <f t="shared" si="1"/>
        <v>&lt;0.001</v>
      </c>
      <c r="J21" t="s">
        <v>27</v>
      </c>
      <c r="K21">
        <v>3.4338359999999999</v>
      </c>
      <c r="L21">
        <v>3.2079490000000002</v>
      </c>
      <c r="M21">
        <v>3.6756280000000001</v>
      </c>
      <c r="N21" s="1">
        <v>1.456128E-276</v>
      </c>
      <c r="O21" t="str">
        <f t="shared" si="2"/>
        <v>3.43(3.21-3.68)</v>
      </c>
      <c r="P21" t="str">
        <f t="shared" si="3"/>
        <v>&lt;0.001</v>
      </c>
      <c r="S21" t="s">
        <v>27</v>
      </c>
      <c r="T21">
        <v>3.1718320000000002</v>
      </c>
      <c r="U21">
        <v>2.9592770000000002</v>
      </c>
      <c r="V21">
        <v>3.399654</v>
      </c>
      <c r="W21">
        <v>0</v>
      </c>
      <c r="X21" t="str">
        <f t="shared" si="4"/>
        <v>3.17(2.96-3.4)</v>
      </c>
      <c r="Y21" t="str">
        <f t="shared" si="5"/>
        <v>&lt;0.001</v>
      </c>
    </row>
    <row r="22" spans="1:25" x14ac:dyDescent="0.3">
      <c r="A22" t="s">
        <v>28</v>
      </c>
      <c r="B22">
        <v>0.21904029999999999</v>
      </c>
      <c r="C22">
        <v>0.2117501</v>
      </c>
      <c r="D22">
        <v>0.22658139999999999</v>
      </c>
      <c r="E22">
        <v>0</v>
      </c>
      <c r="F22" t="str">
        <f t="shared" si="0"/>
        <v>0.22(0.21-0.23)</v>
      </c>
      <c r="G22" t="str">
        <f t="shared" si="1"/>
        <v>&lt;0.001</v>
      </c>
      <c r="J22" t="s">
        <v>28</v>
      </c>
      <c r="K22">
        <v>0.19767199999999999</v>
      </c>
      <c r="L22">
        <v>0.1905539</v>
      </c>
      <c r="M22">
        <v>0.20505599999999999</v>
      </c>
      <c r="N22">
        <v>0</v>
      </c>
      <c r="O22" t="str">
        <f t="shared" si="2"/>
        <v>0.2(0.19-0.21)</v>
      </c>
      <c r="P22" t="str">
        <f t="shared" si="3"/>
        <v>&lt;0.001</v>
      </c>
      <c r="S22" t="s">
        <v>28</v>
      </c>
      <c r="T22">
        <v>0.2130551</v>
      </c>
      <c r="U22">
        <v>0.20565079999999999</v>
      </c>
      <c r="V22">
        <v>0.22072600000000001</v>
      </c>
      <c r="W22">
        <v>0</v>
      </c>
      <c r="X22" t="str">
        <f t="shared" si="4"/>
        <v>0.21(0.21-0.22)</v>
      </c>
      <c r="Y22" t="str">
        <f t="shared" si="5"/>
        <v>&lt;0.001</v>
      </c>
    </row>
    <row r="23" spans="1:25" x14ac:dyDescent="0.3">
      <c r="A23" t="s">
        <v>29</v>
      </c>
      <c r="B23">
        <v>1.270613</v>
      </c>
      <c r="C23">
        <v>1.2339439999999999</v>
      </c>
      <c r="D23">
        <v>1.308373</v>
      </c>
      <c r="E23" s="1">
        <v>7.9720409999999996E-58</v>
      </c>
      <c r="F23" t="str">
        <f t="shared" si="0"/>
        <v>1.27(1.23-1.31)</v>
      </c>
      <c r="G23" t="str">
        <f t="shared" si="1"/>
        <v>&lt;0.001</v>
      </c>
      <c r="J23" t="s">
        <v>29</v>
      </c>
      <c r="K23">
        <v>1.3039210000000001</v>
      </c>
      <c r="L23">
        <v>1.265074</v>
      </c>
      <c r="M23">
        <v>1.343961</v>
      </c>
      <c r="N23" s="1">
        <v>2.7958939999999998E-66</v>
      </c>
      <c r="O23" t="str">
        <f t="shared" si="2"/>
        <v>1.3(1.27-1.34)</v>
      </c>
      <c r="P23" t="str">
        <f t="shared" si="3"/>
        <v>&lt;0.001</v>
      </c>
      <c r="S23" t="s">
        <v>29</v>
      </c>
      <c r="T23">
        <v>1.312262</v>
      </c>
      <c r="U23">
        <v>1.2750900000000001</v>
      </c>
      <c r="V23">
        <v>1.3505180000000001</v>
      </c>
      <c r="W23">
        <v>0</v>
      </c>
      <c r="X23" t="str">
        <f t="shared" si="4"/>
        <v>1.31(1.28-1.35)</v>
      </c>
      <c r="Y23" t="str">
        <f t="shared" si="5"/>
        <v>&lt;0.001</v>
      </c>
    </row>
    <row r="24" spans="1:25" x14ac:dyDescent="0.3">
      <c r="A24" t="s">
        <v>30</v>
      </c>
      <c r="B24">
        <v>1.399681</v>
      </c>
      <c r="C24">
        <v>1.3638650000000001</v>
      </c>
      <c r="D24">
        <v>1.4364380000000001</v>
      </c>
      <c r="E24" s="1">
        <v>1.3853329999999999E-142</v>
      </c>
      <c r="F24" t="str">
        <f t="shared" si="0"/>
        <v>1.4(1.36-1.44)</v>
      </c>
      <c r="G24" t="str">
        <f t="shared" si="1"/>
        <v>&lt;0.001</v>
      </c>
      <c r="J24" t="s">
        <v>30</v>
      </c>
      <c r="K24">
        <v>1.508202</v>
      </c>
      <c r="L24">
        <v>1.46783</v>
      </c>
      <c r="M24">
        <v>1.5496829999999999</v>
      </c>
      <c r="N24" s="1">
        <v>1.2651920000000001E-193</v>
      </c>
      <c r="O24" t="str">
        <f t="shared" si="2"/>
        <v>1.51(1.47-1.55)</v>
      </c>
      <c r="P24" t="str">
        <f t="shared" si="3"/>
        <v>&lt;0.001</v>
      </c>
      <c r="S24" t="s">
        <v>30</v>
      </c>
      <c r="T24">
        <v>1.539042</v>
      </c>
      <c r="U24">
        <v>1.49702</v>
      </c>
      <c r="V24">
        <v>1.582244</v>
      </c>
      <c r="W24">
        <v>0</v>
      </c>
      <c r="X24" t="str">
        <f t="shared" si="4"/>
        <v>1.54(1.5-1.58)</v>
      </c>
      <c r="Y24" t="str">
        <f t="shared" si="5"/>
        <v>&lt;0.001</v>
      </c>
    </row>
    <row r="29" spans="1:25" x14ac:dyDescent="0.3">
      <c r="A29" t="s">
        <v>70</v>
      </c>
      <c r="J29" t="s">
        <v>71</v>
      </c>
      <c r="S29" t="s">
        <v>72</v>
      </c>
    </row>
    <row r="30" spans="1:25" x14ac:dyDescent="0.3">
      <c r="B30" t="s">
        <v>73</v>
      </c>
      <c r="C30" t="s">
        <v>62</v>
      </c>
      <c r="D30" t="s">
        <v>63</v>
      </c>
      <c r="E30" t="s">
        <v>74</v>
      </c>
      <c r="F30" t="s">
        <v>75</v>
      </c>
      <c r="G30" t="s">
        <v>65</v>
      </c>
      <c r="K30" t="s">
        <v>73</v>
      </c>
      <c r="L30" t="s">
        <v>62</v>
      </c>
      <c r="M30" t="s">
        <v>63</v>
      </c>
      <c r="N30" t="s">
        <v>74</v>
      </c>
      <c r="O30" t="s">
        <v>75</v>
      </c>
      <c r="P30" t="s">
        <v>65</v>
      </c>
      <c r="T30" t="s">
        <v>73</v>
      </c>
      <c r="U30" t="s">
        <v>62</v>
      </c>
      <c r="V30" t="s">
        <v>63</v>
      </c>
      <c r="W30" t="s">
        <v>74</v>
      </c>
      <c r="X30" t="s">
        <v>75</v>
      </c>
      <c r="Y30" t="s">
        <v>65</v>
      </c>
    </row>
    <row r="31" spans="1:25" x14ac:dyDescent="0.3">
      <c r="A31" t="s">
        <v>1</v>
      </c>
      <c r="B31">
        <v>0.55818199999999996</v>
      </c>
      <c r="C31">
        <v>0.50357010000000002</v>
      </c>
      <c r="D31">
        <v>0.61871659999999995</v>
      </c>
      <c r="E31" s="1">
        <v>1.265985E-28</v>
      </c>
      <c r="F31" t="str">
        <f>ROUND(B31,2)&amp;"("&amp;ROUND(C31,2)&amp;"-"&amp;ROUND(D31,2)&amp;")"</f>
        <v>0.56(0.5-0.62)</v>
      </c>
      <c r="G31" t="str">
        <f>IF(E31&lt;0.001,"&lt;0.001",ROUND(E31,3))</f>
        <v>&lt;0.001</v>
      </c>
      <c r="J31" t="s">
        <v>1</v>
      </c>
      <c r="K31">
        <v>0.56550069999999997</v>
      </c>
      <c r="L31">
        <v>0.50839469999999998</v>
      </c>
      <c r="M31">
        <v>0.62902139999999995</v>
      </c>
      <c r="N31" s="1">
        <v>9.0764780000000002E-26</v>
      </c>
      <c r="O31" t="str">
        <f>ROUND(K31,2)&amp;"("&amp;ROUND(L31,2)&amp;"-"&amp;ROUND(M31,2)&amp;")"</f>
        <v>0.57(0.51-0.63)</v>
      </c>
      <c r="P31" t="str">
        <f>IF(N31&lt;0.001,"&lt;0.001",ROUND(N31,3))</f>
        <v>&lt;0.001</v>
      </c>
      <c r="S31" t="s">
        <v>1</v>
      </c>
      <c r="T31">
        <v>0.58954229999999996</v>
      </c>
      <c r="U31">
        <v>0.53344860000000005</v>
      </c>
      <c r="V31">
        <v>0.65153430000000001</v>
      </c>
      <c r="W31" s="1">
        <v>0</v>
      </c>
      <c r="X31" t="str">
        <f>ROUND(T31,2)&amp;"("&amp;ROUND(U31,2)&amp;"-"&amp;ROUND(V31,2)&amp;")"</f>
        <v>0.59(0.53-0.65)</v>
      </c>
      <c r="Y31" t="str">
        <f>IF(W31&lt;0.001,"&lt;0.001",ROUND(W31,3))</f>
        <v>&lt;0.001</v>
      </c>
    </row>
    <row r="32" spans="1:25" x14ac:dyDescent="0.3">
      <c r="A32" t="s">
        <v>10</v>
      </c>
      <c r="B32">
        <v>1.0801134999999999</v>
      </c>
      <c r="C32">
        <v>0.97627260000000005</v>
      </c>
      <c r="D32">
        <v>1.1949993999999999</v>
      </c>
      <c r="E32" s="1">
        <v>0.1350876</v>
      </c>
      <c r="F32" t="str">
        <f t="shared" ref="F32:F51" si="6">ROUND(B32,2)&amp;"("&amp;ROUND(C32,2)&amp;"-"&amp;ROUND(D32,2)&amp;")"</f>
        <v>1.08(0.98-1.19)</v>
      </c>
      <c r="G32">
        <f t="shared" ref="G32:G51" si="7">IF(E32&lt;0.001,"&lt;0.001",ROUND(E32,3))</f>
        <v>0.13500000000000001</v>
      </c>
      <c r="J32" t="s">
        <v>10</v>
      </c>
      <c r="K32">
        <v>1.0687286</v>
      </c>
      <c r="L32">
        <v>0.96265219999999996</v>
      </c>
      <c r="M32">
        <v>1.1864937</v>
      </c>
      <c r="N32" s="1">
        <v>0.21265780000000001</v>
      </c>
      <c r="O32" t="str">
        <f t="shared" ref="O32:O51" si="8">ROUND(K32,2)&amp;"("&amp;ROUND(L32,2)&amp;"-"&amp;ROUND(M32,2)&amp;")"</f>
        <v>1.07(0.96-1.19)</v>
      </c>
      <c r="P32">
        <f t="shared" ref="P32:P51" si="9">IF(N32&lt;0.001,"&lt;0.001",ROUND(N32,3))</f>
        <v>0.21299999999999999</v>
      </c>
      <c r="S32" t="s">
        <v>10</v>
      </c>
      <c r="T32">
        <v>1.0706956000000001</v>
      </c>
      <c r="U32">
        <v>0.96063460000000001</v>
      </c>
      <c r="V32">
        <v>1.1933665</v>
      </c>
      <c r="W32" s="1">
        <v>0.21708910000000001</v>
      </c>
      <c r="X32" t="str">
        <f t="shared" ref="X32:X51" si="10">ROUND(T32,2)&amp;"("&amp;ROUND(U32,2)&amp;"-"&amp;ROUND(V32,2)&amp;")"</f>
        <v>1.07(0.96-1.19)</v>
      </c>
      <c r="Y32">
        <f t="shared" ref="Y32:Y51" si="11">IF(W32&lt;0.001,"&lt;0.001",ROUND(W32,3))</f>
        <v>0.217</v>
      </c>
    </row>
    <row r="33" spans="1:25" x14ac:dyDescent="0.3">
      <c r="A33" t="s">
        <v>49</v>
      </c>
      <c r="B33">
        <v>1.0738078</v>
      </c>
      <c r="C33">
        <v>1.0457038999999999</v>
      </c>
      <c r="D33">
        <v>1.1026669</v>
      </c>
      <c r="E33" s="1">
        <v>1.4194170000000001E-7</v>
      </c>
      <c r="F33" t="str">
        <f t="shared" si="6"/>
        <v>1.07(1.05-1.1)</v>
      </c>
      <c r="G33" t="str">
        <f t="shared" si="7"/>
        <v>&lt;0.001</v>
      </c>
      <c r="J33" t="s">
        <v>49</v>
      </c>
      <c r="K33">
        <v>1.0792523999999999</v>
      </c>
      <c r="L33">
        <v>1.0498194000000001</v>
      </c>
      <c r="M33">
        <v>1.1095105000000001</v>
      </c>
      <c r="N33" s="1">
        <v>6.4372859999999998E-8</v>
      </c>
      <c r="O33" t="str">
        <f t="shared" si="8"/>
        <v>1.08(1.05-1.11)</v>
      </c>
      <c r="P33" t="str">
        <f t="shared" si="9"/>
        <v>&lt;0.001</v>
      </c>
      <c r="S33" t="s">
        <v>55</v>
      </c>
      <c r="T33">
        <v>1.07389</v>
      </c>
      <c r="U33">
        <v>1.0430858999999999</v>
      </c>
      <c r="V33">
        <v>1.1056037999999999</v>
      </c>
      <c r="W33" s="1">
        <v>1.580065E-6</v>
      </c>
      <c r="X33" t="str">
        <f t="shared" si="10"/>
        <v>1.07(1.04-1.11)</v>
      </c>
      <c r="Y33" t="str">
        <f t="shared" si="11"/>
        <v>&lt;0.001</v>
      </c>
    </row>
    <row r="34" spans="1:25" x14ac:dyDescent="0.3">
      <c r="A34" t="s">
        <v>13</v>
      </c>
      <c r="B34">
        <v>1.002443</v>
      </c>
      <c r="C34">
        <v>1.0017879000000001</v>
      </c>
      <c r="D34">
        <v>1.0030986</v>
      </c>
      <c r="E34" s="1">
        <v>2.5692750000000002E-13</v>
      </c>
      <c r="F34" t="str">
        <f t="shared" si="6"/>
        <v>1(1-1)</v>
      </c>
      <c r="G34" t="str">
        <f t="shared" si="7"/>
        <v>&lt;0.001</v>
      </c>
      <c r="J34" t="s">
        <v>13</v>
      </c>
      <c r="K34">
        <v>1.0024487</v>
      </c>
      <c r="L34">
        <v>1.0017655000000001</v>
      </c>
      <c r="M34">
        <v>1.0031323999999999</v>
      </c>
      <c r="N34" s="1">
        <v>2.0504900000000001E-12</v>
      </c>
      <c r="O34" t="str">
        <f t="shared" si="8"/>
        <v>1(1-1)</v>
      </c>
      <c r="P34" t="str">
        <f t="shared" si="9"/>
        <v>&lt;0.001</v>
      </c>
      <c r="S34" t="s">
        <v>13</v>
      </c>
      <c r="T34">
        <v>1.0022637999999999</v>
      </c>
      <c r="U34">
        <v>1.0015320999999999</v>
      </c>
      <c r="V34">
        <v>1.0029961000000001</v>
      </c>
      <c r="W34" s="1">
        <v>1.293181E-9</v>
      </c>
      <c r="X34" t="str">
        <f t="shared" si="10"/>
        <v>1(1-1)</v>
      </c>
      <c r="Y34" t="str">
        <f t="shared" si="11"/>
        <v>&lt;0.001</v>
      </c>
    </row>
    <row r="35" spans="1:25" x14ac:dyDescent="0.3">
      <c r="A35" t="s">
        <v>14</v>
      </c>
      <c r="B35">
        <v>0.96094630000000003</v>
      </c>
      <c r="C35">
        <v>0.95602480000000001</v>
      </c>
      <c r="D35">
        <v>0.96589320000000001</v>
      </c>
      <c r="E35" s="1">
        <v>3.2228979999999999E-52</v>
      </c>
      <c r="F35" t="str">
        <f t="shared" si="6"/>
        <v>0.96(0.96-0.97)</v>
      </c>
      <c r="G35" t="str">
        <f t="shared" si="7"/>
        <v>&lt;0.001</v>
      </c>
      <c r="J35" t="s">
        <v>14</v>
      </c>
      <c r="K35">
        <v>0.96187940000000005</v>
      </c>
      <c r="L35">
        <v>0.95675140000000003</v>
      </c>
      <c r="M35">
        <v>0.96703490000000003</v>
      </c>
      <c r="N35" s="1">
        <v>4.4456220000000002E-46</v>
      </c>
      <c r="O35" t="str">
        <f t="shared" si="8"/>
        <v>0.96(0.96-0.97)</v>
      </c>
      <c r="P35" t="str">
        <f t="shared" si="9"/>
        <v>&lt;0.001</v>
      </c>
      <c r="S35" t="s">
        <v>14</v>
      </c>
      <c r="T35">
        <v>0.96637079999999997</v>
      </c>
      <c r="U35">
        <v>0.96101259999999999</v>
      </c>
      <c r="V35">
        <v>0.97175889999999998</v>
      </c>
      <c r="W35" s="1">
        <v>0</v>
      </c>
      <c r="X35" t="str">
        <f t="shared" si="10"/>
        <v>0.97(0.96-0.97)</v>
      </c>
      <c r="Y35" t="str">
        <f t="shared" si="11"/>
        <v>&lt;0.001</v>
      </c>
    </row>
    <row r="36" spans="1:25" x14ac:dyDescent="0.3">
      <c r="A36" t="s">
        <v>15</v>
      </c>
      <c r="B36">
        <v>0.93755679999999997</v>
      </c>
      <c r="C36">
        <v>0.89650390000000002</v>
      </c>
      <c r="D36">
        <v>0.98048950000000001</v>
      </c>
      <c r="E36" s="1">
        <v>4.7657369999999999E-3</v>
      </c>
      <c r="F36" t="str">
        <f t="shared" si="6"/>
        <v>0.94(0.9-0.98)</v>
      </c>
      <c r="G36">
        <f t="shared" si="7"/>
        <v>5.0000000000000001E-3</v>
      </c>
      <c r="J36" t="s">
        <v>15</v>
      </c>
      <c r="K36">
        <v>0.94033540000000004</v>
      </c>
      <c r="L36">
        <v>0.89756879999999994</v>
      </c>
      <c r="M36">
        <v>0.9851396</v>
      </c>
      <c r="N36" s="1">
        <v>9.5866860000000005E-3</v>
      </c>
      <c r="O36" t="str">
        <f t="shared" si="8"/>
        <v>0.94(0.9-0.99)</v>
      </c>
      <c r="P36">
        <f t="shared" si="9"/>
        <v>0.01</v>
      </c>
      <c r="S36" t="s">
        <v>15</v>
      </c>
      <c r="T36">
        <v>0.95700099999999999</v>
      </c>
      <c r="U36">
        <v>0.9107769</v>
      </c>
      <c r="V36">
        <v>1.0055711000000001</v>
      </c>
      <c r="W36" s="1">
        <v>8.1850320000000004E-2</v>
      </c>
      <c r="X36" t="str">
        <f t="shared" si="10"/>
        <v>0.96(0.91-1.01)</v>
      </c>
      <c r="Y36">
        <f t="shared" si="11"/>
        <v>8.2000000000000003E-2</v>
      </c>
    </row>
    <row r="37" spans="1:25" x14ac:dyDescent="0.3">
      <c r="A37" t="s">
        <v>16</v>
      </c>
      <c r="B37">
        <v>0.93323860000000003</v>
      </c>
      <c r="C37">
        <v>0.89412130000000001</v>
      </c>
      <c r="D37">
        <v>0.97406729999999997</v>
      </c>
      <c r="E37" s="1">
        <v>1.5634679999999999E-3</v>
      </c>
      <c r="F37" t="str">
        <f t="shared" si="6"/>
        <v>0.93(0.89-0.97)</v>
      </c>
      <c r="G37">
        <f t="shared" si="7"/>
        <v>2E-3</v>
      </c>
      <c r="J37" t="s">
        <v>16</v>
      </c>
      <c r="K37">
        <v>0.93202499999999999</v>
      </c>
      <c r="L37">
        <v>0.89138229999999996</v>
      </c>
      <c r="M37">
        <v>0.97452070000000002</v>
      </c>
      <c r="N37" s="1">
        <v>1.9712990000000001E-3</v>
      </c>
      <c r="O37" t="str">
        <f t="shared" si="8"/>
        <v>0.93(0.89-0.97)</v>
      </c>
      <c r="P37">
        <f t="shared" si="9"/>
        <v>2E-3</v>
      </c>
      <c r="S37" t="s">
        <v>16</v>
      </c>
      <c r="T37">
        <v>0.95289020000000002</v>
      </c>
      <c r="U37">
        <v>0.90860949999999996</v>
      </c>
      <c r="V37">
        <v>0.99932889999999996</v>
      </c>
      <c r="W37" s="1">
        <v>4.6850129999999997E-2</v>
      </c>
      <c r="X37" t="str">
        <f t="shared" si="10"/>
        <v>0.95(0.91-1)</v>
      </c>
      <c r="Y37">
        <f t="shared" si="11"/>
        <v>4.7E-2</v>
      </c>
    </row>
    <row r="38" spans="1:25" x14ac:dyDescent="0.3">
      <c r="A38" t="s">
        <v>17</v>
      </c>
      <c r="B38">
        <v>0.95926239999999996</v>
      </c>
      <c r="C38">
        <v>0.92230330000000005</v>
      </c>
      <c r="D38">
        <v>0.9977026</v>
      </c>
      <c r="E38" s="1">
        <v>3.8014449999999998E-2</v>
      </c>
      <c r="F38" t="str">
        <f t="shared" si="6"/>
        <v>0.96(0.92-1)</v>
      </c>
      <c r="G38">
        <f t="shared" si="7"/>
        <v>3.7999999999999999E-2</v>
      </c>
      <c r="J38" t="s">
        <v>17</v>
      </c>
      <c r="K38">
        <v>0.95974979999999999</v>
      </c>
      <c r="L38">
        <v>0.92128670000000001</v>
      </c>
      <c r="M38">
        <v>0.99981880000000001</v>
      </c>
      <c r="N38" s="1">
        <v>4.899361E-2</v>
      </c>
      <c r="O38" t="str">
        <f t="shared" si="8"/>
        <v>0.96(0.92-1)</v>
      </c>
      <c r="P38">
        <f t="shared" si="9"/>
        <v>4.9000000000000002E-2</v>
      </c>
      <c r="S38" t="s">
        <v>17</v>
      </c>
      <c r="T38">
        <v>0.96768189999999998</v>
      </c>
      <c r="U38">
        <v>0.92622380000000004</v>
      </c>
      <c r="V38">
        <v>1.0109956</v>
      </c>
      <c r="W38" s="1">
        <v>0.14142540000000001</v>
      </c>
      <c r="X38" t="str">
        <f t="shared" si="10"/>
        <v>0.97(0.93-1.01)</v>
      </c>
      <c r="Y38">
        <f t="shared" si="11"/>
        <v>0.14099999999999999</v>
      </c>
    </row>
    <row r="39" spans="1:25" x14ac:dyDescent="0.3">
      <c r="A39" t="s">
        <v>18</v>
      </c>
      <c r="B39">
        <v>0.97087060000000003</v>
      </c>
      <c r="C39">
        <v>0.93527439999999995</v>
      </c>
      <c r="D39">
        <v>1.0078216</v>
      </c>
      <c r="E39" s="1">
        <v>0.1208649</v>
      </c>
      <c r="F39" t="str">
        <f t="shared" si="6"/>
        <v>0.97(0.94-1.01)</v>
      </c>
      <c r="G39">
        <f t="shared" si="7"/>
        <v>0.121</v>
      </c>
      <c r="J39" t="s">
        <v>18</v>
      </c>
      <c r="K39">
        <v>0.97265869999999999</v>
      </c>
      <c r="L39">
        <v>0.93552869999999999</v>
      </c>
      <c r="M39">
        <v>1.0112623999999999</v>
      </c>
      <c r="N39" s="1">
        <v>0.16271659999999999</v>
      </c>
      <c r="O39" t="str">
        <f t="shared" si="8"/>
        <v>0.97(0.94-1.01)</v>
      </c>
      <c r="P39">
        <f t="shared" si="9"/>
        <v>0.16300000000000001</v>
      </c>
      <c r="S39" t="s">
        <v>18</v>
      </c>
      <c r="T39">
        <v>0.9845488</v>
      </c>
      <c r="U39">
        <v>0.9443627</v>
      </c>
      <c r="V39">
        <v>1.0264449</v>
      </c>
      <c r="W39" s="1">
        <v>0.4639336</v>
      </c>
      <c r="X39" t="str">
        <f t="shared" si="10"/>
        <v>0.98(0.94-1.03)</v>
      </c>
      <c r="Y39">
        <f t="shared" si="11"/>
        <v>0.46400000000000002</v>
      </c>
    </row>
    <row r="40" spans="1:25" x14ac:dyDescent="0.3">
      <c r="A40" t="s">
        <v>19</v>
      </c>
      <c r="B40">
        <v>1.1441969999999999</v>
      </c>
      <c r="C40">
        <v>1.1036033000000001</v>
      </c>
      <c r="D40">
        <v>1.1862839000000001</v>
      </c>
      <c r="E40" s="1">
        <v>2.6949860000000001E-13</v>
      </c>
      <c r="F40" t="str">
        <f t="shared" si="6"/>
        <v>1.14(1.1-1.19)</v>
      </c>
      <c r="G40" t="str">
        <f t="shared" si="7"/>
        <v>&lt;0.001</v>
      </c>
      <c r="J40" t="s">
        <v>19</v>
      </c>
      <c r="K40">
        <v>1.138085</v>
      </c>
      <c r="L40">
        <v>1.0962449999999999</v>
      </c>
      <c r="M40">
        <v>1.1815218999999999</v>
      </c>
      <c r="N40" s="1">
        <v>1.3030800000000001E-11</v>
      </c>
      <c r="O40" t="str">
        <f t="shared" si="8"/>
        <v>1.14(1.1-1.18)</v>
      </c>
      <c r="P40" t="str">
        <f t="shared" si="9"/>
        <v>&lt;0.001</v>
      </c>
      <c r="S40" t="s">
        <v>19</v>
      </c>
      <c r="T40">
        <v>1.1234696</v>
      </c>
      <c r="U40">
        <v>1.0822400000000001</v>
      </c>
      <c r="V40">
        <v>1.1662698</v>
      </c>
      <c r="W40" s="1">
        <v>1.0403859999999999E-9</v>
      </c>
      <c r="X40" t="str">
        <f>ROUND(T40,2)&amp;"("&amp;ROUND(U40,2)&amp;"-"&amp;ROUND(V40,2)&amp;")"</f>
        <v>1.12(1.08-1.17)</v>
      </c>
      <c r="Y40" t="str">
        <f>IF(W40&lt;0.001,"&lt;0.001",ROUND(W40,3))</f>
        <v>&lt;0.001</v>
      </c>
    </row>
    <row r="41" spans="1:25" x14ac:dyDescent="0.3">
      <c r="A41" t="s">
        <v>20</v>
      </c>
      <c r="B41">
        <v>1.3315159999999999</v>
      </c>
      <c r="C41">
        <v>1.2677780000000001</v>
      </c>
      <c r="D41">
        <v>1.3984585</v>
      </c>
      <c r="E41" s="1">
        <v>2.6300960000000002E-30</v>
      </c>
      <c r="F41" t="str">
        <f t="shared" si="6"/>
        <v>1.33(1.27-1.4)</v>
      </c>
      <c r="G41" t="str">
        <f t="shared" si="7"/>
        <v>&lt;0.001</v>
      </c>
      <c r="J41" t="s">
        <v>20</v>
      </c>
      <c r="K41">
        <v>1.2847107</v>
      </c>
      <c r="L41">
        <v>1.2202799</v>
      </c>
      <c r="M41">
        <v>1.3525434999999999</v>
      </c>
      <c r="N41" s="1">
        <v>1.382938E-21</v>
      </c>
      <c r="O41" t="str">
        <f t="shared" si="8"/>
        <v>1.28(1.22-1.35)</v>
      </c>
      <c r="P41" t="str">
        <f t="shared" si="9"/>
        <v>&lt;0.001</v>
      </c>
      <c r="S41" t="s">
        <v>20</v>
      </c>
      <c r="T41">
        <v>1.2240411</v>
      </c>
      <c r="U41">
        <v>1.160148</v>
      </c>
      <c r="V41">
        <v>1.291453</v>
      </c>
      <c r="W41" s="1">
        <v>1.4588329999999999E-13</v>
      </c>
      <c r="X41" t="str">
        <f>ROUND(T41,2)&amp;"("&amp;ROUND(U41,2)&amp;"-"&amp;ROUND(V41,2)&amp;")"</f>
        <v>1.22(1.16-1.29)</v>
      </c>
      <c r="Y41" t="str">
        <f>IF(W41&lt;0.001,"&lt;0.001",ROUND(W41,3))</f>
        <v>&lt;0.001</v>
      </c>
    </row>
    <row r="42" spans="1:25" x14ac:dyDescent="0.3">
      <c r="A42" t="s">
        <v>21</v>
      </c>
      <c r="B42">
        <v>1.5377734000000001</v>
      </c>
      <c r="C42">
        <v>1.4712921999999999</v>
      </c>
      <c r="D42">
        <v>1.6072587</v>
      </c>
      <c r="E42" s="1">
        <v>3.3792489999999998E-81</v>
      </c>
      <c r="F42" t="str">
        <f t="shared" si="6"/>
        <v>1.54(1.47-1.61)</v>
      </c>
      <c r="G42" t="str">
        <f t="shared" si="7"/>
        <v>&lt;0.001</v>
      </c>
      <c r="J42" t="s">
        <v>21</v>
      </c>
      <c r="K42">
        <v>1.4957198</v>
      </c>
      <c r="L42">
        <v>1.4286337</v>
      </c>
      <c r="M42">
        <v>1.5659562</v>
      </c>
      <c r="N42" s="1">
        <v>2.8578090000000002E-66</v>
      </c>
      <c r="O42" t="str">
        <f t="shared" si="8"/>
        <v>1.5(1.43-1.57)</v>
      </c>
      <c r="P42" t="str">
        <f t="shared" si="9"/>
        <v>&lt;0.001</v>
      </c>
      <c r="S42" t="s">
        <v>21</v>
      </c>
      <c r="T42">
        <v>1.4022671</v>
      </c>
      <c r="U42">
        <v>1.3341609000000001</v>
      </c>
      <c r="V42">
        <v>1.4738499</v>
      </c>
      <c r="W42" s="1">
        <v>0</v>
      </c>
      <c r="X42" t="str">
        <f>ROUND(T42,2)&amp;"("&amp;ROUND(U42,2)&amp;"-"&amp;ROUND(V42,2)&amp;")"</f>
        <v>1.4(1.33-1.47)</v>
      </c>
      <c r="Y42" t="str">
        <f>IF(W42&lt;0.001,"&lt;0.001",ROUND(W42,3))</f>
        <v>&lt;0.001</v>
      </c>
    </row>
    <row r="43" spans="1:25" x14ac:dyDescent="0.3">
      <c r="A43" t="s">
        <v>22</v>
      </c>
      <c r="B43">
        <v>0.93555339999999998</v>
      </c>
      <c r="C43">
        <v>0.90637270000000003</v>
      </c>
      <c r="D43">
        <v>0.96567369999999997</v>
      </c>
      <c r="E43" s="1">
        <v>3.781621E-5</v>
      </c>
      <c r="F43" t="str">
        <f t="shared" si="6"/>
        <v>0.94(0.91-0.97)</v>
      </c>
      <c r="G43" t="str">
        <f t="shared" si="7"/>
        <v>&lt;0.001</v>
      </c>
      <c r="J43" t="s">
        <v>22</v>
      </c>
      <c r="K43">
        <v>0.93766769999999999</v>
      </c>
      <c r="L43">
        <v>0.90721890000000005</v>
      </c>
      <c r="M43">
        <v>0.96913839999999996</v>
      </c>
      <c r="N43" s="1">
        <v>1.3283629999999999E-4</v>
      </c>
      <c r="O43" t="str">
        <f t="shared" si="8"/>
        <v>0.94(0.91-0.97)</v>
      </c>
      <c r="P43" t="str">
        <f t="shared" si="9"/>
        <v>&lt;0.001</v>
      </c>
      <c r="S43" t="s">
        <v>22</v>
      </c>
      <c r="T43">
        <v>0.94434830000000003</v>
      </c>
      <c r="U43">
        <v>0.9126609</v>
      </c>
      <c r="V43">
        <v>0.97713589999999995</v>
      </c>
      <c r="W43" s="1">
        <v>1.0081300000000001E-3</v>
      </c>
      <c r="X43" t="str">
        <f t="shared" si="10"/>
        <v>0.94(0.91-0.98)</v>
      </c>
      <c r="Y43">
        <f t="shared" si="11"/>
        <v>1E-3</v>
      </c>
    </row>
    <row r="44" spans="1:25" x14ac:dyDescent="0.3">
      <c r="A44" t="s">
        <v>23</v>
      </c>
      <c r="B44">
        <v>0.82036830000000005</v>
      </c>
      <c r="C44">
        <v>0.79305349999999997</v>
      </c>
      <c r="D44">
        <v>0.84862400000000004</v>
      </c>
      <c r="E44" s="1">
        <v>2.0887460000000001E-30</v>
      </c>
      <c r="F44" t="str">
        <f t="shared" si="6"/>
        <v>0.82(0.79-0.85)</v>
      </c>
      <c r="G44" t="str">
        <f t="shared" si="7"/>
        <v>&lt;0.001</v>
      </c>
      <c r="J44" t="s">
        <v>23</v>
      </c>
      <c r="K44">
        <v>0.81367940000000005</v>
      </c>
      <c r="L44">
        <v>0.78596189999999999</v>
      </c>
      <c r="M44">
        <v>0.84237430000000002</v>
      </c>
      <c r="N44" s="1">
        <v>2.0337390000000001E-31</v>
      </c>
      <c r="O44" t="str">
        <f t="shared" si="8"/>
        <v>0.81(0.79-0.84)</v>
      </c>
      <c r="P44" t="str">
        <f t="shared" si="9"/>
        <v>&lt;0.001</v>
      </c>
      <c r="S44" t="s">
        <v>23</v>
      </c>
      <c r="T44">
        <v>0.82783099999999998</v>
      </c>
      <c r="U44">
        <v>0.79817190000000005</v>
      </c>
      <c r="V44">
        <v>0.85859220000000003</v>
      </c>
      <c r="W44" s="1">
        <v>0</v>
      </c>
      <c r="X44" t="str">
        <f t="shared" si="10"/>
        <v>0.83(0.8-0.86)</v>
      </c>
      <c r="Y44" t="str">
        <f t="shared" si="11"/>
        <v>&lt;0.001</v>
      </c>
    </row>
    <row r="45" spans="1:25" x14ac:dyDescent="0.3">
      <c r="A45" t="s">
        <v>24</v>
      </c>
      <c r="B45">
        <v>1.2189646999999999</v>
      </c>
      <c r="C45">
        <v>1.1783782</v>
      </c>
      <c r="D45">
        <v>1.2609490999999999</v>
      </c>
      <c r="E45" s="1">
        <v>2.0887460000000001E-30</v>
      </c>
      <c r="F45" t="str">
        <f t="shared" si="6"/>
        <v>1.22(1.18-1.26)</v>
      </c>
      <c r="G45" t="str">
        <f t="shared" si="7"/>
        <v>&lt;0.001</v>
      </c>
      <c r="J45" t="s">
        <v>24</v>
      </c>
      <c r="K45">
        <v>1.2289852999999999</v>
      </c>
      <c r="L45">
        <v>1.1871206999999999</v>
      </c>
      <c r="M45">
        <v>1.2723262</v>
      </c>
      <c r="N45" s="1">
        <v>2.0337390000000001E-31</v>
      </c>
      <c r="O45" t="str">
        <f t="shared" si="8"/>
        <v>1.23(1.19-1.27)</v>
      </c>
      <c r="P45" t="str">
        <f t="shared" si="9"/>
        <v>&lt;0.001</v>
      </c>
      <c r="S45" t="s">
        <v>24</v>
      </c>
      <c r="T45">
        <v>1.2079759999999999</v>
      </c>
      <c r="U45">
        <v>1.1646972</v>
      </c>
      <c r="V45">
        <v>1.2528629</v>
      </c>
      <c r="W45" s="1">
        <v>0</v>
      </c>
      <c r="X45" t="str">
        <f t="shared" si="10"/>
        <v>1.21(1.16-1.25)</v>
      </c>
      <c r="Y45" t="str">
        <f t="shared" si="11"/>
        <v>&lt;0.001</v>
      </c>
    </row>
    <row r="46" spans="1:25" x14ac:dyDescent="0.3">
      <c r="A46" t="s">
        <v>25</v>
      </c>
      <c r="B46">
        <v>1.8601162</v>
      </c>
      <c r="C46">
        <v>1.7765801999999999</v>
      </c>
      <c r="D46">
        <v>1.9475802</v>
      </c>
      <c r="E46" s="1">
        <v>1.9493200000000001E-154</v>
      </c>
      <c r="F46" t="str">
        <f t="shared" si="6"/>
        <v>1.86(1.78-1.95)</v>
      </c>
      <c r="G46" t="str">
        <f t="shared" si="7"/>
        <v>&lt;0.001</v>
      </c>
      <c r="J46" t="s">
        <v>25</v>
      </c>
      <c r="K46">
        <v>2.0806659000000001</v>
      </c>
      <c r="L46">
        <v>1.9779414</v>
      </c>
      <c r="M46">
        <v>2.1887254999999999</v>
      </c>
      <c r="N46" s="1">
        <v>5.8395079999999996E-177</v>
      </c>
      <c r="O46" t="str">
        <f t="shared" si="8"/>
        <v>2.08(1.98-2.19)</v>
      </c>
      <c r="P46" t="str">
        <f t="shared" si="9"/>
        <v>&lt;0.001</v>
      </c>
      <c r="S46" t="s">
        <v>25</v>
      </c>
      <c r="T46">
        <v>2.0121707999999998</v>
      </c>
      <c r="U46">
        <v>1.913368</v>
      </c>
      <c r="V46">
        <v>2.1160755999999998</v>
      </c>
      <c r="W46" s="1">
        <v>0</v>
      </c>
      <c r="X46" t="str">
        <f t="shared" si="10"/>
        <v>2.01(1.91-2.12)</v>
      </c>
      <c r="Y46" t="str">
        <f t="shared" si="11"/>
        <v>&lt;0.001</v>
      </c>
    </row>
    <row r="47" spans="1:25" x14ac:dyDescent="0.3">
      <c r="A47" t="s">
        <v>26</v>
      </c>
      <c r="B47">
        <v>3.8060179000000001</v>
      </c>
      <c r="C47">
        <v>3.6294621</v>
      </c>
      <c r="D47">
        <v>3.9911623999999999</v>
      </c>
      <c r="E47" s="1">
        <v>0</v>
      </c>
      <c r="F47" t="str">
        <f t="shared" si="6"/>
        <v>3.81(3.63-3.99)</v>
      </c>
      <c r="G47" t="str">
        <f t="shared" si="7"/>
        <v>&lt;0.001</v>
      </c>
      <c r="J47" t="s">
        <v>26</v>
      </c>
      <c r="K47">
        <v>4.3564271999999997</v>
      </c>
      <c r="L47">
        <v>4.1361661999999999</v>
      </c>
      <c r="M47">
        <v>4.5884176999999999</v>
      </c>
      <c r="N47" s="1">
        <v>0</v>
      </c>
      <c r="O47" t="str">
        <f t="shared" si="8"/>
        <v>4.36(4.14-4.59)</v>
      </c>
      <c r="P47" t="str">
        <f t="shared" si="9"/>
        <v>&lt;0.001</v>
      </c>
      <c r="S47" t="s">
        <v>26</v>
      </c>
      <c r="T47">
        <v>3.9955371999999998</v>
      </c>
      <c r="U47">
        <v>3.7832295999999999</v>
      </c>
      <c r="V47">
        <v>4.2197592000000004</v>
      </c>
      <c r="W47" s="1">
        <v>0</v>
      </c>
      <c r="X47" t="str">
        <f t="shared" si="10"/>
        <v>4(3.78-4.22)</v>
      </c>
      <c r="Y47" t="str">
        <f t="shared" si="11"/>
        <v>&lt;0.001</v>
      </c>
    </row>
    <row r="48" spans="1:25" x14ac:dyDescent="0.3">
      <c r="A48" t="s">
        <v>27</v>
      </c>
      <c r="B48">
        <v>1.7458847</v>
      </c>
      <c r="C48">
        <v>1.6366350999999999</v>
      </c>
      <c r="D48">
        <v>1.8624270000000001</v>
      </c>
      <c r="E48" s="1">
        <v>4.3251350000000002E-64</v>
      </c>
      <c r="F48" t="str">
        <f t="shared" si="6"/>
        <v>1.75(1.64-1.86)</v>
      </c>
      <c r="G48" t="str">
        <f t="shared" si="7"/>
        <v>&lt;0.001</v>
      </c>
      <c r="J48" t="s">
        <v>27</v>
      </c>
      <c r="K48">
        <v>1.8649709999999999</v>
      </c>
      <c r="L48">
        <v>1.738308</v>
      </c>
      <c r="M48">
        <v>2.0008632999999998</v>
      </c>
      <c r="N48" s="1">
        <v>1.4449160000000001E-67</v>
      </c>
      <c r="O48" t="str">
        <f t="shared" si="8"/>
        <v>1.86(1.74-2)</v>
      </c>
      <c r="P48" t="str">
        <f t="shared" si="9"/>
        <v>&lt;0.001</v>
      </c>
      <c r="S48" t="s">
        <v>27</v>
      </c>
      <c r="T48">
        <v>1.7755597000000001</v>
      </c>
      <c r="U48">
        <v>1.6496633999999999</v>
      </c>
      <c r="V48">
        <v>1.9110640000000001</v>
      </c>
      <c r="W48" s="1">
        <v>0</v>
      </c>
      <c r="X48" t="str">
        <f t="shared" si="10"/>
        <v>1.78(1.65-1.91)</v>
      </c>
      <c r="Y48" t="str">
        <f t="shared" si="11"/>
        <v>&lt;0.001</v>
      </c>
    </row>
    <row r="49" spans="1:25" x14ac:dyDescent="0.3">
      <c r="A49" t="s">
        <v>28</v>
      </c>
      <c r="B49">
        <v>0.3193937</v>
      </c>
      <c r="C49">
        <v>0.30729810000000002</v>
      </c>
      <c r="D49">
        <v>0.33196540000000002</v>
      </c>
      <c r="E49" s="1">
        <v>0</v>
      </c>
      <c r="F49" t="str">
        <f t="shared" si="6"/>
        <v>0.32(0.31-0.33)</v>
      </c>
      <c r="G49" t="str">
        <f t="shared" si="7"/>
        <v>&lt;0.001</v>
      </c>
      <c r="J49" t="s">
        <v>28</v>
      </c>
      <c r="K49">
        <v>0.30286000000000002</v>
      </c>
      <c r="L49">
        <v>0.29055249999999999</v>
      </c>
      <c r="M49">
        <v>0.31568879999999999</v>
      </c>
      <c r="N49" s="1">
        <v>0</v>
      </c>
      <c r="O49" t="str">
        <f t="shared" si="8"/>
        <v>0.3(0.29-0.32)</v>
      </c>
      <c r="P49" t="str">
        <f t="shared" si="9"/>
        <v>&lt;0.001</v>
      </c>
      <c r="S49" t="s">
        <v>28</v>
      </c>
      <c r="T49">
        <v>0.33177050000000002</v>
      </c>
      <c r="U49">
        <v>0.31820700000000002</v>
      </c>
      <c r="V49">
        <v>0.3459121</v>
      </c>
      <c r="W49" s="1">
        <v>0</v>
      </c>
      <c r="X49" t="str">
        <f t="shared" si="10"/>
        <v>0.33(0.32-0.35)</v>
      </c>
      <c r="Y49" t="str">
        <f t="shared" si="11"/>
        <v>&lt;0.001</v>
      </c>
    </row>
    <row r="50" spans="1:25" x14ac:dyDescent="0.3">
      <c r="A50" t="s">
        <v>29</v>
      </c>
      <c r="B50">
        <v>0.90266310000000005</v>
      </c>
      <c r="C50">
        <v>0.87531959999999998</v>
      </c>
      <c r="D50">
        <v>0.93086069999999999</v>
      </c>
      <c r="E50" s="1">
        <v>6.7987160000000005E-11</v>
      </c>
      <c r="F50" t="str">
        <f t="shared" si="6"/>
        <v>0.9(0.88-0.93)</v>
      </c>
      <c r="G50" t="str">
        <f t="shared" si="7"/>
        <v>&lt;0.001</v>
      </c>
      <c r="J50" t="s">
        <v>29</v>
      </c>
      <c r="K50">
        <v>0.90972149999999996</v>
      </c>
      <c r="L50">
        <v>0.88134749999999995</v>
      </c>
      <c r="M50">
        <v>0.93900890000000004</v>
      </c>
      <c r="N50" s="1">
        <v>4.8422629999999999E-9</v>
      </c>
      <c r="O50" t="str">
        <f t="shared" si="8"/>
        <v>0.91(0.88-0.94)</v>
      </c>
      <c r="P50" t="str">
        <f t="shared" si="9"/>
        <v>&lt;0.001</v>
      </c>
      <c r="S50" t="s">
        <v>29</v>
      </c>
      <c r="T50">
        <v>0.93457389999999996</v>
      </c>
      <c r="U50">
        <v>0.90416160000000001</v>
      </c>
      <c r="V50">
        <v>0.96600909999999995</v>
      </c>
      <c r="W50" s="1">
        <v>6.1018940000000002E-5</v>
      </c>
      <c r="X50" t="str">
        <f t="shared" si="10"/>
        <v>0.93(0.9-0.97)</v>
      </c>
      <c r="Y50" t="str">
        <f t="shared" si="11"/>
        <v>&lt;0.001</v>
      </c>
    </row>
    <row r="51" spans="1:25" x14ac:dyDescent="0.3">
      <c r="A51" t="s">
        <v>30</v>
      </c>
      <c r="B51">
        <v>0.69739799999999996</v>
      </c>
      <c r="C51">
        <v>0.67686270000000004</v>
      </c>
      <c r="D51">
        <v>0.71855619999999998</v>
      </c>
      <c r="E51" s="1">
        <v>1.720736E-123</v>
      </c>
      <c r="F51" t="str">
        <f t="shared" si="6"/>
        <v>0.7(0.68-0.72)</v>
      </c>
      <c r="G51" t="str">
        <f t="shared" si="7"/>
        <v>&lt;0.001</v>
      </c>
      <c r="J51" t="s">
        <v>30</v>
      </c>
      <c r="K51">
        <v>0.71910399999999997</v>
      </c>
      <c r="L51">
        <v>0.69710709999999998</v>
      </c>
      <c r="M51">
        <v>0.74179510000000004</v>
      </c>
      <c r="N51" s="1">
        <v>4.0398510000000001E-96</v>
      </c>
      <c r="O51" t="str">
        <f t="shared" si="8"/>
        <v>0.72(0.7-0.74)</v>
      </c>
      <c r="P51" t="str">
        <f t="shared" si="9"/>
        <v>&lt;0.001</v>
      </c>
      <c r="S51" t="s">
        <v>30</v>
      </c>
      <c r="T51">
        <v>0.79336320000000005</v>
      </c>
      <c r="U51">
        <v>0.7656039</v>
      </c>
      <c r="V51">
        <v>0.82212890000000005</v>
      </c>
      <c r="W51" s="1">
        <v>0</v>
      </c>
      <c r="X51" t="str">
        <f t="shared" si="10"/>
        <v>0.79(0.77-0.82)</v>
      </c>
      <c r="Y51" t="str">
        <f t="shared" si="11"/>
        <v>&lt;0.001</v>
      </c>
    </row>
    <row r="55" spans="1:25" x14ac:dyDescent="0.3">
      <c r="A55" t="s">
        <v>76</v>
      </c>
      <c r="J55" t="s">
        <v>77</v>
      </c>
      <c r="S55" t="s">
        <v>78</v>
      </c>
    </row>
    <row r="56" spans="1:25" x14ac:dyDescent="0.3">
      <c r="B56" t="s">
        <v>73</v>
      </c>
      <c r="C56" t="s">
        <v>62</v>
      </c>
      <c r="D56" t="s">
        <v>63</v>
      </c>
      <c r="E56" t="s">
        <v>74</v>
      </c>
      <c r="F56" t="s">
        <v>75</v>
      </c>
      <c r="G56" t="s">
        <v>65</v>
      </c>
      <c r="K56" t="s">
        <v>73</v>
      </c>
      <c r="L56" t="s">
        <v>62</v>
      </c>
      <c r="M56" t="s">
        <v>63</v>
      </c>
      <c r="N56" t="s">
        <v>74</v>
      </c>
      <c r="O56" t="s">
        <v>75</v>
      </c>
      <c r="P56" t="s">
        <v>65</v>
      </c>
      <c r="T56" t="s">
        <v>73</v>
      </c>
      <c r="U56" t="s">
        <v>62</v>
      </c>
      <c r="V56" t="s">
        <v>63</v>
      </c>
      <c r="W56" t="s">
        <v>74</v>
      </c>
      <c r="X56" t="s">
        <v>75</v>
      </c>
      <c r="Y56" t="s">
        <v>65</v>
      </c>
    </row>
    <row r="57" spans="1:25" x14ac:dyDescent="0.3">
      <c r="A57" t="s">
        <v>69</v>
      </c>
      <c r="B57">
        <v>0.49362430000000002</v>
      </c>
      <c r="C57">
        <v>0.44723180000000001</v>
      </c>
      <c r="D57">
        <v>0.54482929999999996</v>
      </c>
      <c r="E57" s="1">
        <v>1.18385E-44</v>
      </c>
      <c r="F57" t="str">
        <f>ROUND(B57,2)&amp;"("&amp;ROUND(C57,2)&amp;"-"&amp;ROUND(D57,2)&amp;")"</f>
        <v>0.49(0.45-0.54)</v>
      </c>
      <c r="G57" t="str">
        <f>IF(E57&lt;0.001,"&lt;0.001",ROUND(E57,3))</f>
        <v>&lt;0.001</v>
      </c>
      <c r="J57" t="s">
        <v>69</v>
      </c>
      <c r="K57">
        <v>0.50836219999999999</v>
      </c>
      <c r="L57">
        <v>0.45924490000000001</v>
      </c>
      <c r="M57">
        <v>0.56273260000000003</v>
      </c>
      <c r="N57" s="1">
        <v>6.339317E-39</v>
      </c>
      <c r="O57" t="str">
        <f>ROUND(K57,2)&amp;"("&amp;ROUND(L57,2)&amp;"-"&amp;ROUND(M57,2)&amp;")"</f>
        <v>0.51(0.46-0.56)</v>
      </c>
      <c r="P57" t="str">
        <f>IF(N57&lt;0.001,"&lt;0.001",ROUND(N57,3))</f>
        <v>&lt;0.001</v>
      </c>
      <c r="S57" t="s">
        <v>69</v>
      </c>
      <c r="T57">
        <v>0.52239420000000003</v>
      </c>
      <c r="U57">
        <v>0.47422839999999999</v>
      </c>
      <c r="V57">
        <v>0.57545199999999996</v>
      </c>
      <c r="W57">
        <v>0</v>
      </c>
      <c r="X57" t="str">
        <f>ROUND(T57,2)&amp;"("&amp;ROUND(U57,2)&amp;"-"&amp;ROUND(V57,2)&amp;")"</f>
        <v>0.52(0.47-0.58)</v>
      </c>
      <c r="Y57" t="str">
        <f>IF(W57&lt;0.001,"&lt;0.001",ROUND(W57,3))</f>
        <v>&lt;0.001</v>
      </c>
    </row>
    <row r="58" spans="1:25" x14ac:dyDescent="0.3">
      <c r="A58" t="s">
        <v>9</v>
      </c>
      <c r="B58">
        <v>1.042497</v>
      </c>
      <c r="C58">
        <v>1.040009</v>
      </c>
      <c r="D58">
        <v>1.0449900000000001</v>
      </c>
      <c r="E58" s="1">
        <v>1.3715520000000001E-255</v>
      </c>
      <c r="F58" t="str">
        <f t="shared" ref="F58:F78" si="12">ROUND(B58,2)&amp;"("&amp;ROUND(C58,2)&amp;"-"&amp;ROUND(D58,2)&amp;")"</f>
        <v>1.04(1.04-1.04)</v>
      </c>
      <c r="G58" t="str">
        <f t="shared" ref="G58:G78" si="13">IF(E58&lt;0.001,"&lt;0.001",ROUND(E58,3))</f>
        <v>&lt;0.001</v>
      </c>
      <c r="J58" t="s">
        <v>9</v>
      </c>
      <c r="K58">
        <v>1.0405310000000001</v>
      </c>
      <c r="L58">
        <v>1.037963</v>
      </c>
      <c r="M58">
        <v>1.0431060000000001</v>
      </c>
      <c r="N58" s="1">
        <v>7.3799490000000003E-218</v>
      </c>
      <c r="O58" t="str">
        <f t="shared" ref="O58:O78" si="14">ROUND(K58,2)&amp;"("&amp;ROUND(L58,2)&amp;"-"&amp;ROUND(M58,2)&amp;")"</f>
        <v>1.04(1.04-1.04)</v>
      </c>
      <c r="P58" t="str">
        <f t="shared" ref="P58:P78" si="15">IF(N58&lt;0.001,"&lt;0.001",ROUND(N58,3))</f>
        <v>&lt;0.001</v>
      </c>
      <c r="S58" t="s">
        <v>9</v>
      </c>
      <c r="T58">
        <v>1.0378780000000001</v>
      </c>
      <c r="U58">
        <v>1.0353049999999999</v>
      </c>
      <c r="V58">
        <v>1.0404580000000001</v>
      </c>
      <c r="W58">
        <v>0</v>
      </c>
      <c r="X58" t="str">
        <f t="shared" ref="X58:X78" si="16">ROUND(T58,2)&amp;"("&amp;ROUND(U58,2)&amp;"-"&amp;ROUND(V58,2)&amp;")"</f>
        <v>1.04(1.04-1.04)</v>
      </c>
      <c r="Y58" t="str">
        <f t="shared" ref="Y58:Y78" si="17">IF(W58&lt;0.001,"&lt;0.001",ROUND(W58,3))</f>
        <v>&lt;0.001</v>
      </c>
    </row>
    <row r="59" spans="1:25" x14ac:dyDescent="0.3">
      <c r="A59" t="s">
        <v>10</v>
      </c>
      <c r="B59">
        <v>1.359704</v>
      </c>
      <c r="C59">
        <v>1.258256</v>
      </c>
      <c r="D59">
        <v>1.4693309999999999</v>
      </c>
      <c r="E59" s="1">
        <v>8.0559780000000008E-15</v>
      </c>
      <c r="F59" t="str">
        <f t="shared" si="12"/>
        <v>1.36(1.26-1.47)</v>
      </c>
      <c r="G59" t="str">
        <f t="shared" si="13"/>
        <v>&lt;0.001</v>
      </c>
      <c r="J59" t="s">
        <v>10</v>
      </c>
      <c r="K59">
        <v>1.3515740000000001</v>
      </c>
      <c r="L59">
        <v>1.2469520000000001</v>
      </c>
      <c r="M59">
        <v>1.4649730000000001</v>
      </c>
      <c r="N59" s="1">
        <v>2.3183279999999998E-13</v>
      </c>
      <c r="O59" t="str">
        <f t="shared" si="14"/>
        <v>1.35(1.25-1.46)</v>
      </c>
      <c r="P59" t="str">
        <f t="shared" si="15"/>
        <v>&lt;0.001</v>
      </c>
      <c r="S59" t="s">
        <v>10</v>
      </c>
      <c r="T59">
        <v>1.336014</v>
      </c>
      <c r="U59">
        <v>1.2342070000000001</v>
      </c>
      <c r="V59">
        <v>1.4462189999999999</v>
      </c>
      <c r="W59" s="1">
        <v>7.8648200000000004E-13</v>
      </c>
      <c r="X59" t="str">
        <f t="shared" si="16"/>
        <v>1.34(1.23-1.45)</v>
      </c>
      <c r="Y59" t="str">
        <f t="shared" si="17"/>
        <v>&lt;0.001</v>
      </c>
    </row>
    <row r="60" spans="1:25" x14ac:dyDescent="0.3">
      <c r="A60" t="s">
        <v>49</v>
      </c>
      <c r="B60">
        <v>1.3768609999999999</v>
      </c>
      <c r="C60">
        <v>1.3208029999999999</v>
      </c>
      <c r="D60">
        <v>1.435298</v>
      </c>
      <c r="E60" s="1">
        <v>2.1996229999999999E-51</v>
      </c>
      <c r="F60" t="str">
        <f t="shared" si="12"/>
        <v>1.38(1.32-1.44)</v>
      </c>
      <c r="G60" t="str">
        <f t="shared" si="13"/>
        <v>&lt;0.001</v>
      </c>
      <c r="J60" t="s">
        <v>49</v>
      </c>
      <c r="K60">
        <v>1.37825</v>
      </c>
      <c r="L60">
        <v>1.3199320000000001</v>
      </c>
      <c r="M60">
        <v>1.4391449999999999</v>
      </c>
      <c r="N60" s="1">
        <v>6.4135170000000004E-48</v>
      </c>
      <c r="O60" t="str">
        <f t="shared" si="14"/>
        <v>1.38(1.32-1.44)</v>
      </c>
      <c r="P60" t="str">
        <f t="shared" si="15"/>
        <v>&lt;0.001</v>
      </c>
      <c r="S60" t="s">
        <v>49</v>
      </c>
      <c r="T60">
        <v>1.3569720000000001</v>
      </c>
      <c r="U60">
        <v>1.299601</v>
      </c>
      <c r="V60">
        <v>1.4168769999999999</v>
      </c>
      <c r="W60">
        <v>0</v>
      </c>
      <c r="X60" t="str">
        <f t="shared" si="16"/>
        <v>1.36(1.3-1.42)</v>
      </c>
      <c r="Y60" t="str">
        <f t="shared" si="17"/>
        <v>&lt;0.001</v>
      </c>
    </row>
    <row r="61" spans="1:25" x14ac:dyDescent="0.3">
      <c r="A61" t="s">
        <v>13</v>
      </c>
      <c r="B61">
        <v>1.01328</v>
      </c>
      <c r="C61">
        <v>1.0091699999999999</v>
      </c>
      <c r="D61">
        <v>1.017407</v>
      </c>
      <c r="E61" s="1">
        <v>1.9945840000000001E-10</v>
      </c>
      <c r="F61" t="str">
        <f t="shared" si="12"/>
        <v>1.01(1.01-1.02)</v>
      </c>
      <c r="G61" t="str">
        <f t="shared" si="13"/>
        <v>&lt;0.001</v>
      </c>
      <c r="J61" t="s">
        <v>13</v>
      </c>
      <c r="K61">
        <v>1.0138160000000001</v>
      </c>
      <c r="L61">
        <v>1.009538</v>
      </c>
      <c r="M61">
        <v>1.0181119999999999</v>
      </c>
      <c r="N61" s="1">
        <v>2.019841E-10</v>
      </c>
      <c r="O61" t="str">
        <f t="shared" si="14"/>
        <v>1.01(1.01-1.02)</v>
      </c>
      <c r="P61" t="str">
        <f t="shared" si="15"/>
        <v>&lt;0.001</v>
      </c>
      <c r="S61" t="s">
        <v>13</v>
      </c>
      <c r="T61">
        <v>1.0133479999999999</v>
      </c>
      <c r="U61">
        <v>1.009091</v>
      </c>
      <c r="V61">
        <v>1.0176229999999999</v>
      </c>
      <c r="W61" s="1">
        <v>6.6779000000000003E-10</v>
      </c>
      <c r="X61" t="str">
        <f t="shared" si="16"/>
        <v>1.01(1.01-1.02)</v>
      </c>
      <c r="Y61" t="str">
        <f t="shared" si="17"/>
        <v>&lt;0.001</v>
      </c>
    </row>
    <row r="62" spans="1:25" x14ac:dyDescent="0.3">
      <c r="A62" t="s">
        <v>14</v>
      </c>
      <c r="B62">
        <v>0.94278209999999996</v>
      </c>
      <c r="C62">
        <v>0.9348708</v>
      </c>
      <c r="D62">
        <v>0.9507603</v>
      </c>
      <c r="E62" s="1">
        <v>9.6046730000000004E-43</v>
      </c>
      <c r="F62" t="str">
        <f t="shared" si="12"/>
        <v>0.94(0.93-0.95)</v>
      </c>
      <c r="G62" t="str">
        <f t="shared" si="13"/>
        <v>&lt;0.001</v>
      </c>
      <c r="J62" t="s">
        <v>14</v>
      </c>
      <c r="K62">
        <v>0.94406500000000004</v>
      </c>
      <c r="L62">
        <v>0.9358379</v>
      </c>
      <c r="M62">
        <v>0.95236430000000005</v>
      </c>
      <c r="N62" s="1">
        <v>5.1696470000000002E-38</v>
      </c>
      <c r="O62" t="str">
        <f t="shared" si="14"/>
        <v>0.94(0.94-0.95)</v>
      </c>
      <c r="P62" t="str">
        <f t="shared" si="15"/>
        <v>&lt;0.001</v>
      </c>
      <c r="S62" t="s">
        <v>14</v>
      </c>
      <c r="T62">
        <v>0.94756640000000003</v>
      </c>
      <c r="U62">
        <v>0.93921699999999997</v>
      </c>
      <c r="V62">
        <v>0.95599009999999995</v>
      </c>
      <c r="W62">
        <v>0</v>
      </c>
      <c r="X62" t="str">
        <f t="shared" si="16"/>
        <v>0.95(0.94-0.96)</v>
      </c>
      <c r="Y62" t="str">
        <f t="shared" si="17"/>
        <v>&lt;0.001</v>
      </c>
    </row>
    <row r="63" spans="1:25" x14ac:dyDescent="0.3">
      <c r="A63" t="s">
        <v>15</v>
      </c>
      <c r="B63">
        <v>0.98406479999999996</v>
      </c>
      <c r="C63">
        <v>0.91562829999999995</v>
      </c>
      <c r="D63">
        <v>1.0576165</v>
      </c>
      <c r="E63" s="1">
        <v>0.66226890000000005</v>
      </c>
      <c r="F63" t="str">
        <f t="shared" si="12"/>
        <v>0.98(0.92-1.06)</v>
      </c>
      <c r="G63">
        <f t="shared" si="13"/>
        <v>0.66200000000000003</v>
      </c>
      <c r="J63" t="s">
        <v>15</v>
      </c>
      <c r="K63">
        <v>0.98249330000000001</v>
      </c>
      <c r="L63">
        <v>0.91180059999999996</v>
      </c>
      <c r="M63">
        <v>1.0586669</v>
      </c>
      <c r="N63" s="1">
        <v>0.64295020000000003</v>
      </c>
      <c r="O63" t="str">
        <f t="shared" si="14"/>
        <v>0.98(0.91-1.06)</v>
      </c>
      <c r="P63">
        <f t="shared" si="15"/>
        <v>0.64300000000000002</v>
      </c>
      <c r="S63" t="s">
        <v>15</v>
      </c>
      <c r="T63">
        <v>0.98367870000000002</v>
      </c>
      <c r="U63">
        <v>0.91300289999999995</v>
      </c>
      <c r="V63">
        <v>1.0598255000000001</v>
      </c>
      <c r="W63" s="1">
        <v>0.66531609999999997</v>
      </c>
      <c r="X63" t="str">
        <f t="shared" si="16"/>
        <v>0.98(0.91-1.06)</v>
      </c>
      <c r="Y63">
        <f t="shared" si="17"/>
        <v>0.66500000000000004</v>
      </c>
    </row>
    <row r="64" spans="1:25" x14ac:dyDescent="0.3">
      <c r="A64" t="s">
        <v>16</v>
      </c>
      <c r="B64">
        <v>0.97804530000000001</v>
      </c>
      <c r="C64">
        <v>0.91311830000000005</v>
      </c>
      <c r="D64">
        <v>1.0475888</v>
      </c>
      <c r="E64" s="1">
        <v>0.52645969999999997</v>
      </c>
      <c r="F64" t="str">
        <f t="shared" si="12"/>
        <v>0.98(0.91-1.05)</v>
      </c>
      <c r="G64">
        <f t="shared" si="13"/>
        <v>0.52600000000000002</v>
      </c>
      <c r="J64" t="s">
        <v>16</v>
      </c>
      <c r="K64">
        <v>0.98447039999999997</v>
      </c>
      <c r="L64">
        <v>0.91697569999999995</v>
      </c>
      <c r="M64">
        <v>1.0569331</v>
      </c>
      <c r="N64" s="1">
        <v>0.66579829999999995</v>
      </c>
      <c r="O64" t="str">
        <f t="shared" si="14"/>
        <v>0.98(0.92-1.06)</v>
      </c>
      <c r="P64">
        <f t="shared" si="15"/>
        <v>0.66600000000000004</v>
      </c>
      <c r="S64" t="s">
        <v>16</v>
      </c>
      <c r="T64">
        <v>0.99049940000000003</v>
      </c>
      <c r="U64">
        <v>0.92247210000000002</v>
      </c>
      <c r="V64">
        <v>1.0635433000000001</v>
      </c>
      <c r="W64" s="1">
        <v>0.79258019999999996</v>
      </c>
      <c r="X64" t="str">
        <f t="shared" si="16"/>
        <v>0.99(0.92-1.06)</v>
      </c>
      <c r="Y64">
        <f t="shared" si="17"/>
        <v>0.79300000000000004</v>
      </c>
    </row>
    <row r="65" spans="1:25" x14ac:dyDescent="0.3">
      <c r="A65" t="s">
        <v>17</v>
      </c>
      <c r="B65">
        <v>0.92333600000000005</v>
      </c>
      <c r="C65">
        <v>0.86566569999999998</v>
      </c>
      <c r="D65">
        <v>0.98484830000000001</v>
      </c>
      <c r="E65" s="1">
        <v>1.5352970000000001E-2</v>
      </c>
      <c r="F65" t="str">
        <f t="shared" si="12"/>
        <v>0.92(0.87-0.98)</v>
      </c>
      <c r="G65">
        <f t="shared" si="13"/>
        <v>1.4999999999999999E-2</v>
      </c>
      <c r="J65" t="s">
        <v>17</v>
      </c>
      <c r="K65">
        <v>0.91343540000000001</v>
      </c>
      <c r="L65">
        <v>0.85424529999999999</v>
      </c>
      <c r="M65">
        <v>0.97672680000000001</v>
      </c>
      <c r="N65" s="1">
        <v>8.0757869999999992E-3</v>
      </c>
      <c r="O65" t="str">
        <f t="shared" si="14"/>
        <v>0.91(0.85-0.98)</v>
      </c>
      <c r="P65">
        <f t="shared" si="15"/>
        <v>8.0000000000000002E-3</v>
      </c>
      <c r="S65" t="s">
        <v>17</v>
      </c>
      <c r="T65">
        <v>0.91294839999999999</v>
      </c>
      <c r="U65">
        <v>0.85383489999999995</v>
      </c>
      <c r="V65">
        <v>0.97615450000000004</v>
      </c>
      <c r="W65" s="1">
        <v>7.661391E-3</v>
      </c>
      <c r="X65" t="str">
        <f t="shared" si="16"/>
        <v>0.91(0.85-0.98)</v>
      </c>
      <c r="Y65">
        <f t="shared" si="17"/>
        <v>8.0000000000000002E-3</v>
      </c>
    </row>
    <row r="66" spans="1:25" x14ac:dyDescent="0.3">
      <c r="A66" t="s">
        <v>18</v>
      </c>
      <c r="B66">
        <v>0.84197460000000002</v>
      </c>
      <c r="C66">
        <v>0.79276060000000004</v>
      </c>
      <c r="D66">
        <v>0.89424369999999997</v>
      </c>
      <c r="E66" s="1">
        <v>2.175654E-8</v>
      </c>
      <c r="F66" t="str">
        <f t="shared" si="12"/>
        <v>0.84(0.79-0.89)</v>
      </c>
      <c r="G66" t="str">
        <f t="shared" si="13"/>
        <v>&lt;0.001</v>
      </c>
      <c r="J66" t="s">
        <v>18</v>
      </c>
      <c r="K66">
        <v>0.82315229999999995</v>
      </c>
      <c r="L66">
        <v>0.77312110000000001</v>
      </c>
      <c r="M66">
        <v>0.87642120000000001</v>
      </c>
      <c r="N66" s="1">
        <v>1.1796990000000001E-9</v>
      </c>
      <c r="O66" t="str">
        <f t="shared" si="14"/>
        <v>0.82(0.77-0.88)</v>
      </c>
      <c r="P66" t="str">
        <f t="shared" si="15"/>
        <v>&lt;0.001</v>
      </c>
      <c r="S66" t="s">
        <v>18</v>
      </c>
      <c r="T66">
        <v>0.82336399999999998</v>
      </c>
      <c r="U66">
        <v>0.77313279999999995</v>
      </c>
      <c r="V66">
        <v>0.87685869999999999</v>
      </c>
      <c r="W66" s="1">
        <v>1.433252E-9</v>
      </c>
      <c r="X66" t="str">
        <f t="shared" si="16"/>
        <v>0.82(0.77-0.88)</v>
      </c>
      <c r="Y66" t="str">
        <f t="shared" si="17"/>
        <v>&lt;0.001</v>
      </c>
    </row>
    <row r="67" spans="1:25" x14ac:dyDescent="0.3">
      <c r="A67" t="s">
        <v>19</v>
      </c>
      <c r="B67">
        <v>1.26027</v>
      </c>
      <c r="C67">
        <v>1.192204</v>
      </c>
      <c r="D67">
        <v>1.3322210000000001</v>
      </c>
      <c r="E67" s="1">
        <v>3.1889320000000001E-16</v>
      </c>
      <c r="F67" t="str">
        <f t="shared" si="12"/>
        <v>1.26(1.19-1.33)</v>
      </c>
      <c r="G67" t="str">
        <f t="shared" si="13"/>
        <v>&lt;0.001</v>
      </c>
      <c r="J67" t="s">
        <v>19</v>
      </c>
      <c r="K67">
        <v>1.2427809999999999</v>
      </c>
      <c r="L67">
        <v>1.1734830000000001</v>
      </c>
      <c r="M67">
        <v>1.3161719999999999</v>
      </c>
      <c r="N67" s="1">
        <v>1.129524E-13</v>
      </c>
      <c r="O67" t="str">
        <f t="shared" si="14"/>
        <v>1.24(1.17-1.32)</v>
      </c>
      <c r="P67" t="str">
        <f t="shared" si="15"/>
        <v>&lt;0.001</v>
      </c>
      <c r="S67" t="s">
        <v>19</v>
      </c>
      <c r="T67">
        <v>1.2246809999999999</v>
      </c>
      <c r="U67">
        <v>1.157861</v>
      </c>
      <c r="V67">
        <v>1.295358</v>
      </c>
      <c r="W67" s="1">
        <v>1.437517E-12</v>
      </c>
      <c r="X67" t="str">
        <f t="shared" si="16"/>
        <v>1.22(1.16-1.3)</v>
      </c>
      <c r="Y67" t="str">
        <f t="shared" si="17"/>
        <v>&lt;0.001</v>
      </c>
    </row>
    <row r="68" spans="1:25" x14ac:dyDescent="0.3">
      <c r="A68" t="s">
        <v>20</v>
      </c>
      <c r="B68">
        <v>1.6335569999999999</v>
      </c>
      <c r="C68">
        <v>1.509868</v>
      </c>
      <c r="D68">
        <v>1.767379</v>
      </c>
      <c r="E68" s="1">
        <v>2.549582E-34</v>
      </c>
      <c r="F68" t="str">
        <f t="shared" si="12"/>
        <v>1.63(1.51-1.77)</v>
      </c>
      <c r="G68" t="str">
        <f t="shared" si="13"/>
        <v>&lt;0.001</v>
      </c>
      <c r="J68" t="s">
        <v>20</v>
      </c>
      <c r="K68">
        <v>1.53467</v>
      </c>
      <c r="L68">
        <v>1.4128780000000001</v>
      </c>
      <c r="M68">
        <v>1.6669620000000001</v>
      </c>
      <c r="N68" s="1">
        <v>3.2281330000000001E-24</v>
      </c>
      <c r="O68" t="str">
        <f t="shared" si="14"/>
        <v>1.53(1.41-1.67)</v>
      </c>
      <c r="P68" t="str">
        <f t="shared" si="15"/>
        <v>&lt;0.001</v>
      </c>
      <c r="S68" t="s">
        <v>20</v>
      </c>
      <c r="T68">
        <v>1.468048</v>
      </c>
      <c r="U68">
        <v>1.349707</v>
      </c>
      <c r="V68">
        <v>1.5967640000000001</v>
      </c>
      <c r="W68" s="1">
        <v>0</v>
      </c>
      <c r="X68" t="str">
        <f t="shared" si="16"/>
        <v>1.47(1.35-1.6)</v>
      </c>
      <c r="Y68" t="str">
        <f t="shared" si="17"/>
        <v>&lt;0.001</v>
      </c>
    </row>
    <row r="69" spans="1:25" x14ac:dyDescent="0.3">
      <c r="A69" t="s">
        <v>21</v>
      </c>
      <c r="B69">
        <v>2.2875559999999999</v>
      </c>
      <c r="C69">
        <v>2.1381199999999998</v>
      </c>
      <c r="D69">
        <v>2.4474369999999999</v>
      </c>
      <c r="E69" s="1">
        <v>2.357559E-127</v>
      </c>
      <c r="F69" t="str">
        <f t="shared" si="12"/>
        <v>2.29(2.14-2.45)</v>
      </c>
      <c r="G69" t="str">
        <f t="shared" si="13"/>
        <v>&lt;0.001</v>
      </c>
      <c r="J69" t="s">
        <v>21</v>
      </c>
      <c r="K69">
        <v>2.2135509999999998</v>
      </c>
      <c r="L69">
        <v>2.0636920000000001</v>
      </c>
      <c r="M69">
        <v>2.3742920000000001</v>
      </c>
      <c r="N69" s="1">
        <v>2.3960109999999998E-109</v>
      </c>
      <c r="O69" t="str">
        <f t="shared" si="14"/>
        <v>2.21(2.06-2.37)</v>
      </c>
      <c r="P69" t="str">
        <f t="shared" si="15"/>
        <v>&lt;0.001</v>
      </c>
      <c r="S69" t="s">
        <v>21</v>
      </c>
      <c r="T69">
        <v>2.0747300000000002</v>
      </c>
      <c r="U69">
        <v>1.9317960000000001</v>
      </c>
      <c r="V69">
        <v>2.2282410000000001</v>
      </c>
      <c r="W69" s="1">
        <v>0</v>
      </c>
      <c r="X69" t="str">
        <f t="shared" si="16"/>
        <v>2.07(1.93-2.23)</v>
      </c>
      <c r="Y69" t="str">
        <f t="shared" si="17"/>
        <v>&lt;0.001</v>
      </c>
    </row>
    <row r="70" spans="1:25" x14ac:dyDescent="0.3">
      <c r="A70" t="s">
        <v>22</v>
      </c>
      <c r="B70">
        <v>0.87961060000000002</v>
      </c>
      <c r="C70">
        <v>0.83911360000000002</v>
      </c>
      <c r="D70">
        <v>0.92206200000000005</v>
      </c>
      <c r="E70" s="1">
        <v>9.598352E-8</v>
      </c>
      <c r="F70" t="str">
        <f t="shared" si="12"/>
        <v>0.88(0.84-0.92)</v>
      </c>
      <c r="G70" t="str">
        <f t="shared" si="13"/>
        <v>&lt;0.001</v>
      </c>
      <c r="J70" t="s">
        <v>22</v>
      </c>
      <c r="K70">
        <v>0.87912650000000003</v>
      </c>
      <c r="L70">
        <v>0.83706469999999999</v>
      </c>
      <c r="M70">
        <v>0.92330190000000001</v>
      </c>
      <c r="N70" s="1">
        <v>2.6038110000000003E-7</v>
      </c>
      <c r="O70" t="str">
        <f t="shared" si="14"/>
        <v>0.88(0.84-0.92)</v>
      </c>
      <c r="P70" t="str">
        <f t="shared" si="15"/>
        <v>&lt;0.001</v>
      </c>
      <c r="S70" t="s">
        <v>22</v>
      </c>
      <c r="T70">
        <v>0.88371089999999997</v>
      </c>
      <c r="U70">
        <v>0.84185270000000001</v>
      </c>
      <c r="V70">
        <v>0.92765030000000004</v>
      </c>
      <c r="W70" s="1">
        <v>5.9316689999999999E-7</v>
      </c>
      <c r="X70" t="str">
        <f t="shared" si="16"/>
        <v>0.88(0.84-0.93)</v>
      </c>
      <c r="Y70" t="str">
        <f t="shared" si="17"/>
        <v>&lt;0.001</v>
      </c>
    </row>
    <row r="71" spans="1:25" x14ac:dyDescent="0.3">
      <c r="A71" t="s">
        <v>23</v>
      </c>
      <c r="B71">
        <v>0.44577319999999998</v>
      </c>
      <c r="C71">
        <v>0.42128919999999997</v>
      </c>
      <c r="D71">
        <v>0.4716803</v>
      </c>
      <c r="E71" s="1">
        <v>6.6557249999999997E-173</v>
      </c>
      <c r="F71" t="str">
        <f t="shared" si="12"/>
        <v>0.45(0.42-0.47)</v>
      </c>
      <c r="G71" t="str">
        <f t="shared" si="13"/>
        <v>&lt;0.001</v>
      </c>
      <c r="J71" t="s">
        <v>23</v>
      </c>
      <c r="K71">
        <v>0.42661569999999999</v>
      </c>
      <c r="L71">
        <v>0.4027191</v>
      </c>
      <c r="M71">
        <v>0.45193040000000001</v>
      </c>
      <c r="N71" s="1">
        <v>1.8492799999999999E-184</v>
      </c>
      <c r="O71" t="str">
        <f t="shared" si="14"/>
        <v>0.43(0.4-0.45)</v>
      </c>
      <c r="P71" t="str">
        <f t="shared" si="15"/>
        <v>&lt;0.001</v>
      </c>
      <c r="S71" t="s">
        <v>23</v>
      </c>
      <c r="T71">
        <v>0.4322588</v>
      </c>
      <c r="U71">
        <v>0.40898449999999997</v>
      </c>
      <c r="V71">
        <v>0.45685759999999997</v>
      </c>
      <c r="W71">
        <v>0</v>
      </c>
      <c r="X71" t="str">
        <f t="shared" si="16"/>
        <v>0.43(0.41-0.46)</v>
      </c>
      <c r="Y71" t="str">
        <f t="shared" si="17"/>
        <v>&lt;0.001</v>
      </c>
    </row>
    <row r="72" spans="1:25" x14ac:dyDescent="0.3">
      <c r="A72" t="s">
        <v>24</v>
      </c>
      <c r="B72">
        <v>2.243293</v>
      </c>
      <c r="C72">
        <v>2.1200800000000002</v>
      </c>
      <c r="D72">
        <v>2.3736660000000001</v>
      </c>
      <c r="E72" s="1">
        <v>6.6557249999999997E-173</v>
      </c>
      <c r="F72" t="str">
        <f t="shared" si="12"/>
        <v>2.24(2.12-2.37)</v>
      </c>
      <c r="G72" t="str">
        <f t="shared" si="13"/>
        <v>&lt;0.001</v>
      </c>
      <c r="J72" t="s">
        <v>24</v>
      </c>
      <c r="K72">
        <v>2.3440300000000001</v>
      </c>
      <c r="L72">
        <v>2.2127300000000001</v>
      </c>
      <c r="M72">
        <v>2.4831210000000001</v>
      </c>
      <c r="N72" s="1">
        <v>1.8492799999999999E-184</v>
      </c>
      <c r="O72" t="str">
        <f t="shared" si="14"/>
        <v>2.34(2.21-2.48)</v>
      </c>
      <c r="P72" t="str">
        <f t="shared" si="15"/>
        <v>&lt;0.001</v>
      </c>
      <c r="S72" t="s">
        <v>24</v>
      </c>
      <c r="T72">
        <v>2.3134290000000002</v>
      </c>
      <c r="U72">
        <v>2.188866</v>
      </c>
      <c r="V72">
        <v>2.4450799999999999</v>
      </c>
      <c r="W72">
        <v>0</v>
      </c>
      <c r="X72" t="str">
        <f t="shared" si="16"/>
        <v>2.31(2.19-2.45)</v>
      </c>
      <c r="Y72" t="str">
        <f t="shared" si="17"/>
        <v>&lt;0.001</v>
      </c>
    </row>
    <row r="73" spans="1:25" x14ac:dyDescent="0.3">
      <c r="A73" t="s">
        <v>25</v>
      </c>
      <c r="B73">
        <v>2.5052189999999999</v>
      </c>
      <c r="C73">
        <v>2.3219210000000001</v>
      </c>
      <c r="D73">
        <v>2.7029879999999999</v>
      </c>
      <c r="E73" s="1">
        <v>4.5967349999999998E-124</v>
      </c>
      <c r="F73" t="str">
        <f t="shared" si="12"/>
        <v>2.51(2.32-2.7)</v>
      </c>
      <c r="G73" t="str">
        <f t="shared" si="13"/>
        <v>&lt;0.001</v>
      </c>
      <c r="J73" t="s">
        <v>25</v>
      </c>
      <c r="K73">
        <v>2.902927</v>
      </c>
      <c r="L73">
        <v>2.6679689999999998</v>
      </c>
      <c r="M73">
        <v>3.1585779999999999</v>
      </c>
      <c r="N73" s="1">
        <v>3.2688460000000001E-135</v>
      </c>
      <c r="O73" t="str">
        <f t="shared" si="14"/>
        <v>2.9(2.67-3.16)</v>
      </c>
      <c r="P73" t="str">
        <f t="shared" si="15"/>
        <v>&lt;0.001</v>
      </c>
      <c r="S73" t="s">
        <v>25</v>
      </c>
      <c r="T73">
        <v>2.8547020000000001</v>
      </c>
      <c r="U73">
        <v>2.625651</v>
      </c>
      <c r="V73">
        <v>3.1037349999999999</v>
      </c>
      <c r="W73">
        <v>0</v>
      </c>
      <c r="X73" t="str">
        <f t="shared" si="16"/>
        <v>2.85(2.63-3.1)</v>
      </c>
      <c r="Y73" t="str">
        <f t="shared" si="17"/>
        <v>&lt;0.001</v>
      </c>
    </row>
    <row r="74" spans="1:25" x14ac:dyDescent="0.3">
      <c r="A74" t="s">
        <v>26</v>
      </c>
      <c r="B74">
        <v>7.0873980000000003</v>
      </c>
      <c r="C74">
        <v>6.6032489999999999</v>
      </c>
      <c r="D74">
        <v>7.6070440000000001</v>
      </c>
      <c r="E74" s="1">
        <v>0</v>
      </c>
      <c r="F74" t="str">
        <f t="shared" si="12"/>
        <v>7.09(6.6-7.61)</v>
      </c>
      <c r="G74" t="str">
        <f t="shared" si="13"/>
        <v>&lt;0.001</v>
      </c>
      <c r="J74" t="s">
        <v>26</v>
      </c>
      <c r="K74">
        <v>8.6196059999999992</v>
      </c>
      <c r="L74">
        <v>7.9660780000000004</v>
      </c>
      <c r="M74">
        <v>9.3267480000000003</v>
      </c>
      <c r="N74" s="1">
        <v>0</v>
      </c>
      <c r="O74" t="str">
        <f t="shared" si="14"/>
        <v>8.62(7.97-9.33)</v>
      </c>
      <c r="P74" t="str">
        <f t="shared" si="15"/>
        <v>&lt;0.001</v>
      </c>
      <c r="S74" t="s">
        <v>26</v>
      </c>
      <c r="T74">
        <v>8.1671949999999995</v>
      </c>
      <c r="U74">
        <v>7.5537299999999998</v>
      </c>
      <c r="V74">
        <v>8.8304810000000007</v>
      </c>
      <c r="W74">
        <v>0</v>
      </c>
      <c r="X74" t="str">
        <f t="shared" si="16"/>
        <v>8.17(7.55-8.83)</v>
      </c>
      <c r="Y74" t="str">
        <f t="shared" si="17"/>
        <v>&lt;0.001</v>
      </c>
    </row>
    <row r="75" spans="1:25" x14ac:dyDescent="0.3">
      <c r="A75" t="s">
        <v>27</v>
      </c>
      <c r="B75">
        <v>4.1665429999999999</v>
      </c>
      <c r="C75">
        <v>3.765476</v>
      </c>
      <c r="D75">
        <v>4.6103290000000001</v>
      </c>
      <c r="E75" s="1">
        <v>4.19287E-168</v>
      </c>
      <c r="F75" t="str">
        <f t="shared" si="12"/>
        <v>4.17(3.77-4.61)</v>
      </c>
      <c r="G75" t="str">
        <f t="shared" si="13"/>
        <v>&lt;0.001</v>
      </c>
      <c r="J75" t="s">
        <v>27</v>
      </c>
      <c r="K75">
        <v>4.7038390000000003</v>
      </c>
      <c r="L75">
        <v>4.2116290000000003</v>
      </c>
      <c r="M75">
        <v>5.2535730000000003</v>
      </c>
      <c r="N75" s="1">
        <v>5.7885620000000004E-166</v>
      </c>
      <c r="O75" t="str">
        <f t="shared" si="14"/>
        <v>4.7(4.21-5.25)</v>
      </c>
      <c r="P75" t="str">
        <f t="shared" si="15"/>
        <v>&lt;0.001</v>
      </c>
      <c r="S75" t="s">
        <v>27</v>
      </c>
      <c r="T75">
        <v>4.3856169999999999</v>
      </c>
      <c r="U75">
        <v>3.9172370000000001</v>
      </c>
      <c r="V75">
        <v>4.91</v>
      </c>
      <c r="W75">
        <v>0</v>
      </c>
      <c r="X75" t="str">
        <f t="shared" si="16"/>
        <v>4.39(3.92-4.91)</v>
      </c>
      <c r="Y75" t="str">
        <f t="shared" si="17"/>
        <v>&lt;0.001</v>
      </c>
    </row>
    <row r="76" spans="1:25" x14ac:dyDescent="0.3">
      <c r="A76" t="s">
        <v>28</v>
      </c>
      <c r="B76">
        <v>0.1722765</v>
      </c>
      <c r="C76">
        <v>0.16293579999999999</v>
      </c>
      <c r="D76">
        <v>0.1821526</v>
      </c>
      <c r="E76">
        <v>0</v>
      </c>
      <c r="F76" t="str">
        <f t="shared" si="12"/>
        <v>0.17(0.16-0.18)</v>
      </c>
      <c r="G76" t="str">
        <f t="shared" si="13"/>
        <v>&lt;0.001</v>
      </c>
      <c r="J76" t="s">
        <v>28</v>
      </c>
      <c r="K76">
        <v>0.15479989999999999</v>
      </c>
      <c r="L76">
        <v>0.14573079999999999</v>
      </c>
      <c r="M76">
        <v>0.16443340000000001</v>
      </c>
      <c r="N76">
        <v>0</v>
      </c>
      <c r="O76" t="str">
        <f t="shared" si="14"/>
        <v>0.15(0.15-0.16)</v>
      </c>
      <c r="P76" t="str">
        <f t="shared" si="15"/>
        <v>&lt;0.001</v>
      </c>
      <c r="S76" t="s">
        <v>28</v>
      </c>
      <c r="T76">
        <v>0.16639499999999999</v>
      </c>
      <c r="U76">
        <v>0.15691530000000001</v>
      </c>
      <c r="V76">
        <v>0.1764474</v>
      </c>
      <c r="W76">
        <v>0</v>
      </c>
      <c r="X76" t="str">
        <f t="shared" si="16"/>
        <v>0.17(0.16-0.18)</v>
      </c>
      <c r="Y76" t="str">
        <f t="shared" si="17"/>
        <v>&lt;0.001</v>
      </c>
    </row>
    <row r="77" spans="1:25" x14ac:dyDescent="0.3">
      <c r="A77" t="s">
        <v>29</v>
      </c>
      <c r="B77">
        <v>1.5244279999999999</v>
      </c>
      <c r="C77">
        <v>1.452466</v>
      </c>
      <c r="D77">
        <v>1.5999540000000001</v>
      </c>
      <c r="E77" s="1">
        <v>1.791273E-65</v>
      </c>
      <c r="F77" t="str">
        <f t="shared" si="12"/>
        <v>1.52(1.45-1.6)</v>
      </c>
      <c r="G77" t="str">
        <f t="shared" si="13"/>
        <v>&lt;0.001</v>
      </c>
      <c r="J77" t="s">
        <v>29</v>
      </c>
      <c r="K77">
        <v>1.570319</v>
      </c>
      <c r="L77">
        <v>1.494038</v>
      </c>
      <c r="M77">
        <v>1.6504939999999999</v>
      </c>
      <c r="N77" s="1">
        <v>1.386233E-70</v>
      </c>
      <c r="O77" t="str">
        <f t="shared" si="14"/>
        <v>1.57(1.49-1.65)</v>
      </c>
      <c r="P77" t="str">
        <f t="shared" si="15"/>
        <v>&lt;0.001</v>
      </c>
      <c r="S77" t="s">
        <v>29</v>
      </c>
      <c r="T77">
        <v>1.563178</v>
      </c>
      <c r="U77">
        <v>1.4909699999999999</v>
      </c>
      <c r="V77">
        <v>1.638884</v>
      </c>
      <c r="W77">
        <v>0</v>
      </c>
      <c r="X77" t="str">
        <f t="shared" si="16"/>
        <v>1.56(1.49-1.64)</v>
      </c>
      <c r="Y77" t="str">
        <f t="shared" si="17"/>
        <v>&lt;0.001</v>
      </c>
    </row>
    <row r="78" spans="1:25" x14ac:dyDescent="0.3">
      <c r="A78" t="s">
        <v>30</v>
      </c>
      <c r="B78">
        <v>1.620355</v>
      </c>
      <c r="C78">
        <v>1.55359</v>
      </c>
      <c r="D78">
        <v>1.689988</v>
      </c>
      <c r="E78" s="1">
        <v>6.2226150000000002E-112</v>
      </c>
      <c r="F78" t="str">
        <f t="shared" si="12"/>
        <v>1.62(1.55-1.69)</v>
      </c>
      <c r="G78" t="str">
        <f t="shared" si="13"/>
        <v>&lt;0.001</v>
      </c>
      <c r="J78" t="s">
        <v>30</v>
      </c>
      <c r="K78">
        <v>1.7366299999999999</v>
      </c>
      <c r="L78">
        <v>1.6619280000000001</v>
      </c>
      <c r="M78">
        <v>1.8146899999999999</v>
      </c>
      <c r="N78" s="1">
        <v>1.143608E-133</v>
      </c>
      <c r="O78" t="str">
        <f t="shared" si="14"/>
        <v>1.74(1.66-1.81)</v>
      </c>
      <c r="P78" t="str">
        <f t="shared" si="15"/>
        <v>&lt;0.001</v>
      </c>
      <c r="S78" t="s">
        <v>30</v>
      </c>
      <c r="T78">
        <v>1.750461</v>
      </c>
      <c r="U78">
        <v>1.67388</v>
      </c>
      <c r="V78">
        <v>1.8305450000000001</v>
      </c>
      <c r="W78">
        <v>0</v>
      </c>
      <c r="X78" t="str">
        <f t="shared" si="16"/>
        <v>1.75(1.67-1.83)</v>
      </c>
      <c r="Y78" t="str">
        <f t="shared" si="17"/>
        <v>&lt;0.001</v>
      </c>
    </row>
    <row r="82" spans="1:25" x14ac:dyDescent="0.3">
      <c r="A82" t="s">
        <v>79</v>
      </c>
      <c r="J82" t="s">
        <v>80</v>
      </c>
      <c r="S82" t="s">
        <v>81</v>
      </c>
    </row>
    <row r="83" spans="1:25" x14ac:dyDescent="0.3">
      <c r="B83" t="s">
        <v>82</v>
      </c>
      <c r="C83" t="s">
        <v>83</v>
      </c>
      <c r="D83" t="s">
        <v>84</v>
      </c>
      <c r="E83" t="s">
        <v>74</v>
      </c>
      <c r="F83" t="s">
        <v>85</v>
      </c>
      <c r="G83" t="s">
        <v>86</v>
      </c>
      <c r="K83" t="s">
        <v>82</v>
      </c>
      <c r="L83" t="s">
        <v>83</v>
      </c>
      <c r="M83" t="s">
        <v>84</v>
      </c>
      <c r="N83" t="s">
        <v>87</v>
      </c>
      <c r="O83" t="s">
        <v>75</v>
      </c>
      <c r="P83" t="s">
        <v>86</v>
      </c>
      <c r="T83" t="s">
        <v>82</v>
      </c>
      <c r="U83" t="s">
        <v>83</v>
      </c>
      <c r="V83" t="s">
        <v>63</v>
      </c>
      <c r="W83" t="s">
        <v>87</v>
      </c>
      <c r="X83" t="s">
        <v>75</v>
      </c>
      <c r="Y83" t="s">
        <v>65</v>
      </c>
    </row>
    <row r="84" spans="1:25" x14ac:dyDescent="0.3">
      <c r="A84" t="s">
        <v>1</v>
      </c>
      <c r="B84">
        <v>0.53506520000000002</v>
      </c>
      <c r="C84">
        <v>0.48410180000000003</v>
      </c>
      <c r="D84">
        <v>0.59139370000000002</v>
      </c>
      <c r="E84" s="1">
        <v>1.775153E-34</v>
      </c>
      <c r="F84" t="str">
        <f>ROUND(B84,2)&amp;"("&amp;ROUND(C84,2)&amp;"-"&amp;ROUND(D84,2)&amp;")"</f>
        <v>0.54(0.48-0.59)</v>
      </c>
      <c r="G84" t="str">
        <f>IF(E84&lt;0.001,"&lt;0.001",ROUND(E84,3))</f>
        <v>&lt;0.001</v>
      </c>
      <c r="J84" t="s">
        <v>1</v>
      </c>
      <c r="K84">
        <v>0.54828169999999998</v>
      </c>
      <c r="L84">
        <v>0.49458089999999999</v>
      </c>
      <c r="M84">
        <v>0.6078133</v>
      </c>
      <c r="N84" s="1">
        <v>3.0672450000000001E-30</v>
      </c>
      <c r="O84" t="str">
        <f>ROUND(K84,2)&amp;"("&amp;ROUND(L84,2)&amp;"-"&amp;ROUND(M84,2)&amp;")"</f>
        <v>0.55(0.49-0.61)</v>
      </c>
      <c r="P84" t="str">
        <f>IF(N84&lt;0.001,"&lt;0.001",ROUND(N84,3))</f>
        <v>&lt;0.001</v>
      </c>
      <c r="S84" t="s">
        <v>1</v>
      </c>
      <c r="T84">
        <v>0.57093780000000005</v>
      </c>
      <c r="U84">
        <v>0.51855019999999996</v>
      </c>
      <c r="V84">
        <v>0.62861789999999995</v>
      </c>
      <c r="W84" s="1">
        <v>0</v>
      </c>
      <c r="X84" t="str">
        <f>ROUND(T84,2)&amp;"("&amp;ROUND(U84,2)&amp;"-"&amp;ROUND(V84,2)&amp;")"</f>
        <v>0.57(0.52-0.63)</v>
      </c>
      <c r="Y84" t="str">
        <f>IF(W84&lt;0.001,"&lt;0.001",ROUND(W84,3))</f>
        <v>&lt;0.001</v>
      </c>
    </row>
    <row r="85" spans="1:25" x14ac:dyDescent="0.3">
      <c r="A85" t="s">
        <v>10</v>
      </c>
      <c r="B85">
        <v>1.4001695999999999</v>
      </c>
      <c r="C85">
        <v>1.2925684</v>
      </c>
      <c r="D85">
        <v>1.5167282</v>
      </c>
      <c r="E85" s="1">
        <v>1.5800909999999999E-16</v>
      </c>
      <c r="F85" t="str">
        <f t="shared" ref="F85:F104" si="18">ROUND(B85,2)&amp;"("&amp;ROUND(C85,2)&amp;"-"&amp;ROUND(D85,2)&amp;")"</f>
        <v>1.4(1.29-1.52)</v>
      </c>
      <c r="G85" t="str">
        <f t="shared" ref="G85:G104" si="19">IF(E85&lt;0.001,"&lt;0.001",ROUND(E85,3))</f>
        <v>&lt;0.001</v>
      </c>
      <c r="J85" t="s">
        <v>10</v>
      </c>
      <c r="K85">
        <v>1.3919166999999999</v>
      </c>
      <c r="L85">
        <v>1.2809379999999999</v>
      </c>
      <c r="M85">
        <v>1.5125104</v>
      </c>
      <c r="N85" s="1">
        <v>6.1732520000000003E-15</v>
      </c>
      <c r="O85" t="str">
        <f t="shared" ref="O85:O104" si="20">ROUND(K85,2)&amp;"("&amp;ROUND(L85,2)&amp;"-"&amp;ROUND(M85,2)&amp;")"</f>
        <v>1.39(1.28-1.51)</v>
      </c>
      <c r="P85" t="str">
        <f t="shared" ref="P85:P104" si="21">IF(N85&lt;0.001,"&lt;0.001",ROUND(N85,3))</f>
        <v>&lt;0.001</v>
      </c>
      <c r="S85" t="s">
        <v>10</v>
      </c>
      <c r="T85">
        <v>1.3655443</v>
      </c>
      <c r="U85">
        <v>1.2528843000000001</v>
      </c>
      <c r="V85">
        <v>1.4883347</v>
      </c>
      <c r="W85" s="1">
        <v>1.3231640000000001E-12</v>
      </c>
      <c r="X85" t="str">
        <f t="shared" ref="X85:X104" si="22">ROUND(T85,2)&amp;"("&amp;ROUND(U85,2)&amp;"-"&amp;ROUND(V85,2)&amp;")"</f>
        <v>1.37(1.25-1.49)</v>
      </c>
      <c r="Y85" t="str">
        <f t="shared" ref="Y85:Y104" si="23">IF(W85&lt;0.001,"&lt;0.001",ROUND(W85,3))</f>
        <v>&lt;0.001</v>
      </c>
    </row>
    <row r="86" spans="1:25" x14ac:dyDescent="0.3">
      <c r="A86" t="s">
        <v>49</v>
      </c>
      <c r="B86">
        <v>1.1483979</v>
      </c>
      <c r="C86">
        <v>1.0993128000000001</v>
      </c>
      <c r="D86">
        <v>1.1996747999999999</v>
      </c>
      <c r="E86" s="1">
        <v>5.3551229999999995E-10</v>
      </c>
      <c r="F86" t="str">
        <f t="shared" si="18"/>
        <v>1.15(1.1-1.2)</v>
      </c>
      <c r="G86" t="str">
        <f t="shared" si="19"/>
        <v>&lt;0.001</v>
      </c>
      <c r="J86" t="s">
        <v>49</v>
      </c>
      <c r="K86">
        <v>1.138161</v>
      </c>
      <c r="L86">
        <v>1.0876159000000001</v>
      </c>
      <c r="M86">
        <v>1.191055</v>
      </c>
      <c r="N86" s="1">
        <v>2.3536619999999999E-8</v>
      </c>
      <c r="O86" t="str">
        <f t="shared" si="20"/>
        <v>1.14(1.09-1.19)</v>
      </c>
      <c r="P86" t="str">
        <f t="shared" si="21"/>
        <v>&lt;0.001</v>
      </c>
      <c r="S86" t="s">
        <v>55</v>
      </c>
      <c r="T86">
        <v>1.1114348999999999</v>
      </c>
      <c r="U86">
        <v>1.0596293999999999</v>
      </c>
      <c r="V86">
        <v>1.1657731</v>
      </c>
      <c r="W86" s="1">
        <v>1.435995E-5</v>
      </c>
      <c r="X86" t="str">
        <f t="shared" si="22"/>
        <v>1.11(1.06-1.17)</v>
      </c>
      <c r="Y86" t="str">
        <f t="shared" si="23"/>
        <v>&lt;0.001</v>
      </c>
    </row>
    <row r="87" spans="1:25" x14ac:dyDescent="0.3">
      <c r="A87" t="s">
        <v>13</v>
      </c>
      <c r="B87">
        <v>1.0049593000000001</v>
      </c>
      <c r="C87">
        <v>1.0007561</v>
      </c>
      <c r="D87">
        <v>1.0091802000000001</v>
      </c>
      <c r="E87" s="1">
        <v>2.0700799999999998E-2</v>
      </c>
      <c r="F87" t="str">
        <f t="shared" si="18"/>
        <v>1(1-1.01)</v>
      </c>
      <c r="G87">
        <f t="shared" si="19"/>
        <v>2.1000000000000001E-2</v>
      </c>
      <c r="J87" t="s">
        <v>13</v>
      </c>
      <c r="K87">
        <v>1.0055847</v>
      </c>
      <c r="L87">
        <v>1.0012103000000001</v>
      </c>
      <c r="M87">
        <v>1.0099783</v>
      </c>
      <c r="N87" s="1">
        <v>1.22887E-2</v>
      </c>
      <c r="O87" t="str">
        <f t="shared" si="20"/>
        <v>1.01(1-1.01)</v>
      </c>
      <c r="P87">
        <f t="shared" si="21"/>
        <v>1.2E-2</v>
      </c>
      <c r="S87" t="s">
        <v>13</v>
      </c>
      <c r="T87">
        <v>1.0056752</v>
      </c>
      <c r="U87">
        <v>1.0010414999999999</v>
      </c>
      <c r="V87">
        <v>1.0103304</v>
      </c>
      <c r="W87" s="1">
        <v>1.631527E-2</v>
      </c>
      <c r="X87" t="str">
        <f t="shared" si="22"/>
        <v>1.01(1-1.01)</v>
      </c>
      <c r="Y87">
        <f t="shared" si="23"/>
        <v>1.6E-2</v>
      </c>
    </row>
    <row r="88" spans="1:25" x14ac:dyDescent="0.3">
      <c r="A88" t="s">
        <v>14</v>
      </c>
      <c r="B88">
        <v>0.95929249999999999</v>
      </c>
      <c r="C88">
        <v>0.95120249999999995</v>
      </c>
      <c r="D88">
        <v>0.96745130000000001</v>
      </c>
      <c r="E88" s="1">
        <v>6.7152880000000001E-22</v>
      </c>
      <c r="F88" t="str">
        <f t="shared" si="18"/>
        <v>0.96(0.95-0.97)</v>
      </c>
      <c r="G88" t="str">
        <f t="shared" si="19"/>
        <v>&lt;0.001</v>
      </c>
      <c r="J88" t="s">
        <v>14</v>
      </c>
      <c r="K88">
        <v>0.96020939999999999</v>
      </c>
      <c r="L88">
        <v>0.95180339999999997</v>
      </c>
      <c r="M88">
        <v>0.96868960000000004</v>
      </c>
      <c r="N88" s="1">
        <v>1.4195579999999999E-19</v>
      </c>
      <c r="O88" t="str">
        <f t="shared" si="20"/>
        <v>0.96(0.95-0.97)</v>
      </c>
      <c r="P88" t="str">
        <f t="shared" si="21"/>
        <v>&lt;0.001</v>
      </c>
      <c r="S88" t="s">
        <v>14</v>
      </c>
      <c r="T88">
        <v>0.96521829999999997</v>
      </c>
      <c r="U88">
        <v>0.95651379999999997</v>
      </c>
      <c r="V88">
        <v>0.97400209999999998</v>
      </c>
      <c r="W88" s="1">
        <v>1.8651749999999999E-14</v>
      </c>
      <c r="X88" t="str">
        <f t="shared" si="22"/>
        <v>0.97(0.96-0.97)</v>
      </c>
      <c r="Y88" t="str">
        <f t="shared" si="23"/>
        <v>&lt;0.001</v>
      </c>
    </row>
    <row r="89" spans="1:25" x14ac:dyDescent="0.3">
      <c r="A89" t="s">
        <v>15</v>
      </c>
      <c r="B89">
        <v>0.95058860000000001</v>
      </c>
      <c r="C89">
        <v>0.88429120000000005</v>
      </c>
      <c r="D89">
        <v>1.0218564999999999</v>
      </c>
      <c r="E89" s="1">
        <v>0.16950270000000001</v>
      </c>
      <c r="F89" t="str">
        <f t="shared" si="18"/>
        <v>0.95(0.88-1.02)</v>
      </c>
      <c r="G89">
        <f t="shared" si="19"/>
        <v>0.17</v>
      </c>
      <c r="J89" t="s">
        <v>15</v>
      </c>
      <c r="K89">
        <v>0.94252519999999995</v>
      </c>
      <c r="L89">
        <v>0.87451820000000002</v>
      </c>
      <c r="M89">
        <v>1.0158206000000001</v>
      </c>
      <c r="N89" s="1">
        <v>0.12134399999999999</v>
      </c>
      <c r="O89" t="str">
        <f t="shared" si="20"/>
        <v>0.94(0.87-1.02)</v>
      </c>
      <c r="P89">
        <f t="shared" si="21"/>
        <v>0.121</v>
      </c>
      <c r="S89" t="s">
        <v>15</v>
      </c>
      <c r="T89">
        <v>0.94499770000000005</v>
      </c>
      <c r="U89">
        <v>0.87327030000000005</v>
      </c>
      <c r="V89">
        <v>1.0226166000000001</v>
      </c>
      <c r="W89" s="1">
        <v>0.16011359999999999</v>
      </c>
      <c r="X89" t="str">
        <f t="shared" si="22"/>
        <v>0.94(0.87-1.02)</v>
      </c>
      <c r="Y89">
        <f t="shared" si="23"/>
        <v>0.16</v>
      </c>
    </row>
    <row r="90" spans="1:25" x14ac:dyDescent="0.3">
      <c r="A90" t="s">
        <v>16</v>
      </c>
      <c r="B90">
        <v>1.0041102</v>
      </c>
      <c r="C90">
        <v>0.9372916</v>
      </c>
      <c r="D90">
        <v>1.0756922</v>
      </c>
      <c r="E90" s="1">
        <v>0.90706279999999995</v>
      </c>
      <c r="F90" t="str">
        <f t="shared" si="18"/>
        <v>1(0.94-1.08)</v>
      </c>
      <c r="G90">
        <f t="shared" si="19"/>
        <v>0.90700000000000003</v>
      </c>
      <c r="J90" t="s">
        <v>16</v>
      </c>
      <c r="K90">
        <v>1.0056951999999999</v>
      </c>
      <c r="L90">
        <v>0.93657780000000002</v>
      </c>
      <c r="M90">
        <v>1.0799133999999999</v>
      </c>
      <c r="N90" s="1">
        <v>0.87577539999999998</v>
      </c>
      <c r="O90" t="str">
        <f t="shared" si="20"/>
        <v>1.01(0.94-1.08)</v>
      </c>
      <c r="P90">
        <f t="shared" si="21"/>
        <v>0.876</v>
      </c>
      <c r="S90" t="s">
        <v>16</v>
      </c>
      <c r="T90">
        <v>1.0145181999999999</v>
      </c>
      <c r="U90">
        <v>0.94090640000000003</v>
      </c>
      <c r="V90">
        <v>1.0938890999999999</v>
      </c>
      <c r="W90" s="1">
        <v>0.70762029999999998</v>
      </c>
      <c r="X90" t="str">
        <f t="shared" si="22"/>
        <v>1.01(0.94-1.09)</v>
      </c>
      <c r="Y90">
        <f t="shared" si="23"/>
        <v>0.70799999999999996</v>
      </c>
    </row>
    <row r="91" spans="1:25" x14ac:dyDescent="0.3">
      <c r="A91" t="s">
        <v>17</v>
      </c>
      <c r="B91">
        <v>0.97716979999999998</v>
      </c>
      <c r="C91">
        <v>0.91586330000000005</v>
      </c>
      <c r="D91">
        <v>1.0425800000000001</v>
      </c>
      <c r="E91" s="1">
        <v>0.48479689999999998</v>
      </c>
      <c r="F91" t="str">
        <f t="shared" si="18"/>
        <v>0.98(0.92-1.04)</v>
      </c>
      <c r="G91">
        <f t="shared" si="19"/>
        <v>0.48499999999999999</v>
      </c>
      <c r="J91" t="s">
        <v>17</v>
      </c>
      <c r="K91">
        <v>0.96502980000000005</v>
      </c>
      <c r="L91">
        <v>0.9022211</v>
      </c>
      <c r="M91">
        <v>1.032211</v>
      </c>
      <c r="N91" s="1">
        <v>0.29988789999999999</v>
      </c>
      <c r="O91" t="str">
        <f t="shared" si="20"/>
        <v>0.97(0.9-1.03)</v>
      </c>
      <c r="P91">
        <f t="shared" si="21"/>
        <v>0.3</v>
      </c>
      <c r="S91" t="s">
        <v>17</v>
      </c>
      <c r="T91">
        <v>0.96369020000000005</v>
      </c>
      <c r="U91">
        <v>0.89686460000000001</v>
      </c>
      <c r="V91">
        <v>1.0354950999999999</v>
      </c>
      <c r="W91" s="1">
        <v>0.31311139999999998</v>
      </c>
      <c r="X91" t="str">
        <f t="shared" si="22"/>
        <v>0.96(0.9-1.04)</v>
      </c>
      <c r="Y91">
        <f t="shared" si="23"/>
        <v>0.313</v>
      </c>
    </row>
    <row r="92" spans="1:25" x14ac:dyDescent="0.3">
      <c r="A92" t="s">
        <v>18</v>
      </c>
      <c r="B92">
        <v>0.97245619999999999</v>
      </c>
      <c r="C92">
        <v>0.91499330000000001</v>
      </c>
      <c r="D92">
        <v>1.0335278000000001</v>
      </c>
      <c r="E92" s="1">
        <v>0.36877720000000003</v>
      </c>
      <c r="F92" t="str">
        <f t="shared" si="18"/>
        <v>0.97(0.91-1.03)</v>
      </c>
      <c r="G92">
        <f t="shared" si="19"/>
        <v>0.36899999999999999</v>
      </c>
      <c r="J92" t="s">
        <v>18</v>
      </c>
      <c r="K92">
        <v>0.95213329999999996</v>
      </c>
      <c r="L92">
        <v>0.89365130000000004</v>
      </c>
      <c r="M92">
        <v>1.0144424999999999</v>
      </c>
      <c r="N92" s="1">
        <v>0.1293665</v>
      </c>
      <c r="O92" t="str">
        <f t="shared" si="20"/>
        <v>0.95(0.89-1.01)</v>
      </c>
      <c r="P92">
        <f t="shared" si="21"/>
        <v>0.129</v>
      </c>
      <c r="S92" t="s">
        <v>18</v>
      </c>
      <c r="T92">
        <v>0.94391809999999998</v>
      </c>
      <c r="U92">
        <v>0.88195520000000005</v>
      </c>
      <c r="V92">
        <v>1.0102343</v>
      </c>
      <c r="W92" s="1">
        <v>9.5699290000000006E-2</v>
      </c>
      <c r="X92" t="str">
        <f t="shared" si="22"/>
        <v>0.94(0.88-1.01)</v>
      </c>
      <c r="Y92">
        <f t="shared" si="23"/>
        <v>9.6000000000000002E-2</v>
      </c>
    </row>
    <row r="93" spans="1:25" x14ac:dyDescent="0.3">
      <c r="A93" t="s">
        <v>19</v>
      </c>
      <c r="B93">
        <v>1.1822462</v>
      </c>
      <c r="C93">
        <v>1.1179496</v>
      </c>
      <c r="D93">
        <v>1.2502405999999999</v>
      </c>
      <c r="E93" s="1">
        <v>4.4147859999999998E-9</v>
      </c>
      <c r="F93" t="str">
        <f t="shared" si="18"/>
        <v>1.18(1.12-1.25)</v>
      </c>
      <c r="G93" t="str">
        <f t="shared" si="19"/>
        <v>&lt;0.001</v>
      </c>
      <c r="J93" t="s">
        <v>19</v>
      </c>
      <c r="K93">
        <v>1.1709286000000001</v>
      </c>
      <c r="L93">
        <v>1.1051829</v>
      </c>
      <c r="M93">
        <v>1.2405854000000001</v>
      </c>
      <c r="N93" s="1">
        <v>8.6949189999999994E-8</v>
      </c>
      <c r="O93" t="str">
        <f t="shared" si="20"/>
        <v>1.17(1.11-1.24)</v>
      </c>
      <c r="P93" t="str">
        <f t="shared" si="21"/>
        <v>&lt;0.001</v>
      </c>
      <c r="S93" t="s">
        <v>19</v>
      </c>
      <c r="T93">
        <v>1.1374264999999999</v>
      </c>
      <c r="U93">
        <v>1.0742780000000001</v>
      </c>
      <c r="V93">
        <v>1.2042869</v>
      </c>
      <c r="W93" s="1">
        <v>9.9358060000000004E-6</v>
      </c>
      <c r="X93" t="str">
        <f t="shared" si="22"/>
        <v>1.14(1.07-1.2)</v>
      </c>
      <c r="Y93" t="str">
        <f t="shared" si="23"/>
        <v>&lt;0.001</v>
      </c>
    </row>
    <row r="94" spans="1:25" x14ac:dyDescent="0.3">
      <c r="A94" t="s">
        <v>20</v>
      </c>
      <c r="B94">
        <v>1.5379065999999999</v>
      </c>
      <c r="C94">
        <v>1.4200957999999999</v>
      </c>
      <c r="D94">
        <v>1.6654910999999999</v>
      </c>
      <c r="E94" s="1">
        <v>3.4930800000000002E-26</v>
      </c>
      <c r="F94" t="str">
        <f t="shared" si="18"/>
        <v>1.54(1.42-1.67)</v>
      </c>
      <c r="G94" t="str">
        <f t="shared" si="19"/>
        <v>&lt;0.001</v>
      </c>
      <c r="J94" t="s">
        <v>20</v>
      </c>
      <c r="K94">
        <v>1.4597420000000001</v>
      </c>
      <c r="L94">
        <v>1.3425753</v>
      </c>
      <c r="M94">
        <v>1.5871337999999999</v>
      </c>
      <c r="N94" s="1">
        <v>7.9513050000000005E-19</v>
      </c>
      <c r="O94" t="str">
        <f t="shared" si="20"/>
        <v>1.46(1.34-1.59)</v>
      </c>
      <c r="P94" t="str">
        <f t="shared" si="21"/>
        <v>&lt;0.001</v>
      </c>
      <c r="S94" t="s">
        <v>20</v>
      </c>
      <c r="T94">
        <v>1.3529367999999999</v>
      </c>
      <c r="U94">
        <v>1.2394238</v>
      </c>
      <c r="V94">
        <v>1.4768458</v>
      </c>
      <c r="W94" s="1">
        <v>1.3714140000000001E-11</v>
      </c>
      <c r="X94" t="str">
        <f t="shared" si="22"/>
        <v>1.35(1.24-1.48)</v>
      </c>
      <c r="Y94" t="str">
        <f t="shared" si="23"/>
        <v>&lt;0.001</v>
      </c>
    </row>
    <row r="95" spans="1:25" x14ac:dyDescent="0.3">
      <c r="A95" t="s">
        <v>21</v>
      </c>
      <c r="B95">
        <v>1.6287795</v>
      </c>
      <c r="C95">
        <v>1.5217371</v>
      </c>
      <c r="D95">
        <v>1.7433514999999999</v>
      </c>
      <c r="E95" s="1">
        <v>6.2139659999999995E-45</v>
      </c>
      <c r="F95" t="str">
        <f t="shared" si="18"/>
        <v>1.63(1.52-1.74)</v>
      </c>
      <c r="G95" t="str">
        <f t="shared" si="19"/>
        <v>&lt;0.001</v>
      </c>
      <c r="J95" t="s">
        <v>21</v>
      </c>
      <c r="K95">
        <v>1.5550314999999999</v>
      </c>
      <c r="L95">
        <v>1.4491615</v>
      </c>
      <c r="M95">
        <v>1.6686358999999999</v>
      </c>
      <c r="N95" s="1">
        <v>1.278557E-34</v>
      </c>
      <c r="O95" t="str">
        <f t="shared" si="20"/>
        <v>1.56(1.45-1.67)</v>
      </c>
      <c r="P95" t="str">
        <f t="shared" si="21"/>
        <v>&lt;0.001</v>
      </c>
      <c r="S95" t="s">
        <v>21</v>
      </c>
      <c r="T95">
        <v>1.4229442999999999</v>
      </c>
      <c r="U95">
        <v>1.3189199</v>
      </c>
      <c r="V95">
        <v>1.5351733000000001</v>
      </c>
      <c r="W95" s="1">
        <v>0</v>
      </c>
      <c r="X95" t="str">
        <f t="shared" si="22"/>
        <v>1.42(1.32-1.54)</v>
      </c>
      <c r="Y95" t="str">
        <f t="shared" si="23"/>
        <v>&lt;0.001</v>
      </c>
    </row>
    <row r="96" spans="1:25" x14ac:dyDescent="0.3">
      <c r="A96" t="s">
        <v>22</v>
      </c>
      <c r="B96">
        <v>0.92728909999999998</v>
      </c>
      <c r="C96">
        <v>0.88408799999999998</v>
      </c>
      <c r="D96">
        <v>0.9726013</v>
      </c>
      <c r="E96" s="1">
        <v>1.9269840000000001E-3</v>
      </c>
      <c r="F96" t="str">
        <f t="shared" si="18"/>
        <v>0.93(0.88-0.97)</v>
      </c>
      <c r="G96">
        <f t="shared" si="19"/>
        <v>2E-3</v>
      </c>
      <c r="J96" t="s">
        <v>22</v>
      </c>
      <c r="K96">
        <v>0.92917689999999997</v>
      </c>
      <c r="L96">
        <v>0.88419270000000005</v>
      </c>
      <c r="M96">
        <v>0.97644980000000003</v>
      </c>
      <c r="N96" s="1">
        <v>3.7169540000000002E-3</v>
      </c>
      <c r="O96" t="str">
        <f t="shared" si="20"/>
        <v>0.93(0.88-0.98)</v>
      </c>
      <c r="P96">
        <f t="shared" si="21"/>
        <v>4.0000000000000001E-3</v>
      </c>
      <c r="S96" t="s">
        <v>22</v>
      </c>
      <c r="T96">
        <v>0.93700110000000003</v>
      </c>
      <c r="U96">
        <v>0.89074580000000003</v>
      </c>
      <c r="V96">
        <v>0.98565840000000005</v>
      </c>
      <c r="W96" s="1">
        <v>1.1760039999999999E-2</v>
      </c>
      <c r="X96" t="str">
        <f t="shared" si="22"/>
        <v>0.94(0.89-0.99)</v>
      </c>
      <c r="Y96">
        <f t="shared" si="23"/>
        <v>1.2E-2</v>
      </c>
    </row>
    <row r="97" spans="1:25" x14ac:dyDescent="0.3">
      <c r="A97" t="s">
        <v>23</v>
      </c>
      <c r="B97">
        <v>0.70233670000000004</v>
      </c>
      <c r="C97">
        <v>0.66186909999999999</v>
      </c>
      <c r="D97">
        <v>0.74527860000000001</v>
      </c>
      <c r="E97" s="1">
        <v>1.821142E-31</v>
      </c>
      <c r="F97" t="str">
        <f t="shared" si="18"/>
        <v>0.7(0.66-0.75)</v>
      </c>
      <c r="G97" t="str">
        <f t="shared" si="19"/>
        <v>&lt;0.001</v>
      </c>
      <c r="J97" t="s">
        <v>23</v>
      </c>
      <c r="K97">
        <v>0.68588340000000003</v>
      </c>
      <c r="L97">
        <v>0.64560059999999997</v>
      </c>
      <c r="M97">
        <v>0.72867959999999998</v>
      </c>
      <c r="N97" s="1">
        <v>2.7652070000000002E-34</v>
      </c>
      <c r="O97" t="str">
        <f t="shared" si="20"/>
        <v>0.69(0.65-0.73)</v>
      </c>
      <c r="P97" t="str">
        <f t="shared" si="21"/>
        <v>&lt;0.001</v>
      </c>
      <c r="S97" t="s">
        <v>23</v>
      </c>
      <c r="T97">
        <v>0.68754519999999997</v>
      </c>
      <c r="U97">
        <v>0.64530149999999997</v>
      </c>
      <c r="V97">
        <v>0.73255429999999999</v>
      </c>
      <c r="W97" s="1">
        <v>0</v>
      </c>
      <c r="X97" t="str">
        <f t="shared" si="22"/>
        <v>0.69(0.65-0.73)</v>
      </c>
      <c r="Y97" t="str">
        <f t="shared" si="23"/>
        <v>&lt;0.001</v>
      </c>
    </row>
    <row r="98" spans="1:25" x14ac:dyDescent="0.3">
      <c r="A98" t="s">
        <v>24</v>
      </c>
      <c r="B98">
        <v>1.4238184</v>
      </c>
      <c r="C98">
        <v>1.3417801</v>
      </c>
      <c r="D98">
        <v>1.5108727</v>
      </c>
      <c r="E98" s="1">
        <v>1.821142E-31</v>
      </c>
      <c r="F98" t="str">
        <f t="shared" si="18"/>
        <v>1.42(1.34-1.51)</v>
      </c>
      <c r="G98" t="str">
        <f t="shared" si="19"/>
        <v>&lt;0.001</v>
      </c>
      <c r="J98" t="s">
        <v>24</v>
      </c>
      <c r="K98">
        <v>1.4579738</v>
      </c>
      <c r="L98">
        <v>1.3723452</v>
      </c>
      <c r="M98">
        <v>1.5489451999999999</v>
      </c>
      <c r="N98" s="1">
        <v>2.7652070000000002E-34</v>
      </c>
      <c r="O98" t="str">
        <f t="shared" si="20"/>
        <v>1.46(1.37-1.55)</v>
      </c>
      <c r="P98" t="str">
        <f t="shared" si="21"/>
        <v>&lt;0.001</v>
      </c>
      <c r="S98" t="s">
        <v>24</v>
      </c>
      <c r="T98">
        <v>1.4544499</v>
      </c>
      <c r="U98">
        <v>1.3650865999999999</v>
      </c>
      <c r="V98">
        <v>1.5496631999999999</v>
      </c>
      <c r="W98" s="1">
        <v>0</v>
      </c>
      <c r="X98" t="str">
        <f t="shared" si="22"/>
        <v>1.45(1.37-1.55)</v>
      </c>
      <c r="Y98" t="str">
        <f t="shared" si="23"/>
        <v>&lt;0.001</v>
      </c>
    </row>
    <row r="99" spans="1:25" x14ac:dyDescent="0.3">
      <c r="A99" t="s">
        <v>25</v>
      </c>
      <c r="B99">
        <v>2.1523496</v>
      </c>
      <c r="C99">
        <v>1.9882636</v>
      </c>
      <c r="D99">
        <v>2.3299772000000001</v>
      </c>
      <c r="E99" s="1">
        <v>4.7162439999999997E-80</v>
      </c>
      <c r="F99" t="str">
        <f t="shared" si="18"/>
        <v>2.15(1.99-2.33)</v>
      </c>
      <c r="G99" t="str">
        <f t="shared" si="19"/>
        <v>&lt;0.001</v>
      </c>
      <c r="J99" t="s">
        <v>25</v>
      </c>
      <c r="K99">
        <v>2.4315053999999998</v>
      </c>
      <c r="L99">
        <v>2.2272036000000002</v>
      </c>
      <c r="M99">
        <v>2.6545478999999998</v>
      </c>
      <c r="N99" s="1">
        <v>1.2804440000000001E-87</v>
      </c>
      <c r="O99" t="str">
        <f t="shared" si="20"/>
        <v>2.43(2.23-2.65)</v>
      </c>
      <c r="P99" t="str">
        <f t="shared" si="21"/>
        <v>&lt;0.001</v>
      </c>
      <c r="S99" t="s">
        <v>25</v>
      </c>
      <c r="T99">
        <v>2.3350084999999998</v>
      </c>
      <c r="U99">
        <v>2.139453</v>
      </c>
      <c r="V99">
        <v>2.5484385999999999</v>
      </c>
      <c r="W99" s="1">
        <v>0</v>
      </c>
      <c r="X99" t="str">
        <f t="shared" si="22"/>
        <v>2.34(2.14-2.55)</v>
      </c>
      <c r="Y99" t="str">
        <f t="shared" si="23"/>
        <v>&lt;0.001</v>
      </c>
    </row>
    <row r="100" spans="1:25" x14ac:dyDescent="0.3">
      <c r="A100" t="s">
        <v>26</v>
      </c>
      <c r="B100">
        <v>4.0974371999999999</v>
      </c>
      <c r="C100">
        <v>3.7777582000000001</v>
      </c>
      <c r="D100">
        <v>4.4441677999999998</v>
      </c>
      <c r="E100" s="1">
        <v>8.1247379999999997E-254</v>
      </c>
      <c r="F100" t="str">
        <f t="shared" si="18"/>
        <v>4.1(3.78-4.44)</v>
      </c>
      <c r="G100" t="str">
        <f t="shared" si="19"/>
        <v>&lt;0.001</v>
      </c>
      <c r="J100" t="s">
        <v>26</v>
      </c>
      <c r="K100">
        <v>4.7935780000000001</v>
      </c>
      <c r="L100">
        <v>4.3845080999999997</v>
      </c>
      <c r="M100">
        <v>5.2408136000000001</v>
      </c>
      <c r="N100" s="1">
        <v>6.9455050000000004E-260</v>
      </c>
      <c r="O100" t="str">
        <f t="shared" si="20"/>
        <v>4.79(4.38-5.24)</v>
      </c>
      <c r="P100" t="str">
        <f t="shared" si="21"/>
        <v>&lt;0.001</v>
      </c>
      <c r="S100" t="s">
        <v>26</v>
      </c>
      <c r="T100">
        <v>4.4421575000000004</v>
      </c>
      <c r="U100">
        <v>4.0434945000000004</v>
      </c>
      <c r="V100">
        <v>4.8801261</v>
      </c>
      <c r="W100" s="1">
        <v>0</v>
      </c>
      <c r="X100" t="str">
        <f t="shared" si="22"/>
        <v>4.44(4.04-4.88)</v>
      </c>
      <c r="Y100" t="str">
        <f t="shared" si="23"/>
        <v>&lt;0.001</v>
      </c>
    </row>
    <row r="101" spans="1:25" x14ac:dyDescent="0.3">
      <c r="A101" t="s">
        <v>27</v>
      </c>
      <c r="B101">
        <v>1.9982846000000001</v>
      </c>
      <c r="C101">
        <v>1.7979649</v>
      </c>
      <c r="D101">
        <v>2.220923</v>
      </c>
      <c r="E101" s="1">
        <v>9.1791360000000003E-38</v>
      </c>
      <c r="F101" t="str">
        <f t="shared" si="18"/>
        <v>2(1.8-2.22)</v>
      </c>
      <c r="G101" t="str">
        <f t="shared" si="19"/>
        <v>&lt;0.001</v>
      </c>
      <c r="J101" t="s">
        <v>27</v>
      </c>
      <c r="K101">
        <v>2.2093281999999999</v>
      </c>
      <c r="L101">
        <v>1.9693406</v>
      </c>
      <c r="M101">
        <v>2.4785610999999999</v>
      </c>
      <c r="N101" s="1">
        <v>1.344446E-41</v>
      </c>
      <c r="O101" t="str">
        <f t="shared" si="20"/>
        <v>2.21(1.97-2.48)</v>
      </c>
      <c r="P101" t="str">
        <f t="shared" si="21"/>
        <v>&lt;0.001</v>
      </c>
      <c r="S101" t="s">
        <v>27</v>
      </c>
      <c r="T101">
        <v>2.1282747</v>
      </c>
      <c r="U101">
        <v>1.8860642000000001</v>
      </c>
      <c r="V101">
        <v>2.4015900999999999</v>
      </c>
      <c r="W101" s="1">
        <v>0</v>
      </c>
      <c r="X101" t="str">
        <f t="shared" si="22"/>
        <v>2.13(1.89-2.4)</v>
      </c>
      <c r="Y101" t="str">
        <f t="shared" si="23"/>
        <v>&lt;0.001</v>
      </c>
    </row>
    <row r="102" spans="1:25" x14ac:dyDescent="0.3">
      <c r="A102" t="s">
        <v>28</v>
      </c>
      <c r="B102">
        <v>0.2873617</v>
      </c>
      <c r="C102">
        <v>0.2694107</v>
      </c>
      <c r="D102">
        <v>0.30650880000000003</v>
      </c>
      <c r="E102" t="s">
        <v>88</v>
      </c>
      <c r="F102" t="str">
        <f t="shared" si="18"/>
        <v>0.29(0.27-0.31)</v>
      </c>
      <c r="G102" t="e">
        <f t="shared" si="19"/>
        <v>#VALUE!</v>
      </c>
      <c r="J102" t="s">
        <v>28</v>
      </c>
      <c r="K102">
        <v>0.27365970000000001</v>
      </c>
      <c r="L102">
        <v>0.2553492</v>
      </c>
      <c r="M102">
        <v>0.29328310000000002</v>
      </c>
      <c r="N102" s="1">
        <v>1.832124E-294</v>
      </c>
      <c r="O102" t="str">
        <f t="shared" si="20"/>
        <v>0.27(0.26-0.29)</v>
      </c>
      <c r="P102" t="str">
        <f t="shared" si="21"/>
        <v>&lt;0.001</v>
      </c>
      <c r="S102" t="s">
        <v>28</v>
      </c>
      <c r="T102">
        <v>0.2983151</v>
      </c>
      <c r="U102">
        <v>0.27800659999999999</v>
      </c>
      <c r="V102">
        <v>0.32010719999999998</v>
      </c>
      <c r="W102" s="1">
        <v>0</v>
      </c>
      <c r="X102" t="str">
        <f t="shared" si="22"/>
        <v>0.3(0.28-0.32)</v>
      </c>
      <c r="Y102" t="str">
        <f t="shared" si="23"/>
        <v>&lt;0.001</v>
      </c>
    </row>
    <row r="103" spans="1:25" x14ac:dyDescent="0.3">
      <c r="A103" t="s">
        <v>29</v>
      </c>
      <c r="B103">
        <v>0.98009259999999998</v>
      </c>
      <c r="C103">
        <v>0.93170319999999995</v>
      </c>
      <c r="D103">
        <v>1.0309950999999999</v>
      </c>
      <c r="E103" s="1">
        <v>0.43634580000000001</v>
      </c>
      <c r="F103" t="str">
        <f t="shared" si="18"/>
        <v>0.98(0.93-1.03)</v>
      </c>
      <c r="G103">
        <f t="shared" si="19"/>
        <v>0.436</v>
      </c>
      <c r="J103" t="s">
        <v>29</v>
      </c>
      <c r="K103">
        <v>0.99523510000000004</v>
      </c>
      <c r="L103">
        <v>0.94478410000000002</v>
      </c>
      <c r="M103">
        <v>1.0483802</v>
      </c>
      <c r="N103" s="1">
        <v>0.85719420000000002</v>
      </c>
      <c r="O103" t="str">
        <f t="shared" si="20"/>
        <v>1(0.94-1.05)</v>
      </c>
      <c r="P103">
        <f t="shared" si="21"/>
        <v>0.85699999999999998</v>
      </c>
      <c r="S103" t="s">
        <v>29</v>
      </c>
      <c r="T103">
        <v>1.0177482</v>
      </c>
      <c r="U103">
        <v>0.96338869999999999</v>
      </c>
      <c r="V103">
        <v>1.075175</v>
      </c>
      <c r="W103" s="1">
        <v>0.52988539999999995</v>
      </c>
      <c r="X103" t="str">
        <f t="shared" si="22"/>
        <v>1.02(0.96-1.08)</v>
      </c>
      <c r="Y103">
        <f t="shared" si="23"/>
        <v>0.53</v>
      </c>
    </row>
    <row r="104" spans="1:25" x14ac:dyDescent="0.3">
      <c r="A104" t="s">
        <v>30</v>
      </c>
      <c r="B104">
        <v>0.70278640000000003</v>
      </c>
      <c r="C104">
        <v>0.66959139999999995</v>
      </c>
      <c r="D104">
        <v>0.73762720000000004</v>
      </c>
      <c r="E104" s="1">
        <v>2.6366780000000002E-46</v>
      </c>
      <c r="F104" t="str">
        <f t="shared" si="18"/>
        <v>0.7(0.67-0.74)</v>
      </c>
      <c r="G104" t="str">
        <f t="shared" si="19"/>
        <v>&lt;0.001</v>
      </c>
      <c r="J104" t="s">
        <v>30</v>
      </c>
      <c r="K104">
        <v>0.71785120000000002</v>
      </c>
      <c r="L104">
        <v>0.682728</v>
      </c>
      <c r="M104">
        <v>0.75478129999999999</v>
      </c>
      <c r="N104" s="1">
        <v>2.3082459999999999E-38</v>
      </c>
      <c r="O104" t="str">
        <f t="shared" si="20"/>
        <v>0.72(0.68-0.75)</v>
      </c>
      <c r="P104" t="str">
        <f t="shared" si="21"/>
        <v>&lt;0.001</v>
      </c>
      <c r="S104" t="s">
        <v>30</v>
      </c>
      <c r="T104">
        <v>0.78458329999999998</v>
      </c>
      <c r="U104">
        <v>0.74152169999999995</v>
      </c>
      <c r="V104">
        <v>0.83014569999999999</v>
      </c>
      <c r="W104" s="1">
        <v>0</v>
      </c>
      <c r="X104" t="str">
        <f t="shared" si="22"/>
        <v>0.78(0.74-0.83)</v>
      </c>
      <c r="Y104" t="str">
        <f t="shared" si="23"/>
        <v>&lt;0.001</v>
      </c>
    </row>
    <row r="108" spans="1:25" x14ac:dyDescent="0.3">
      <c r="A108" t="s">
        <v>89</v>
      </c>
      <c r="J108" t="s">
        <v>90</v>
      </c>
      <c r="S108" t="s">
        <v>91</v>
      </c>
    </row>
    <row r="109" spans="1:25" x14ac:dyDescent="0.3">
      <c r="B109" t="s">
        <v>92</v>
      </c>
      <c r="C109" t="s">
        <v>93</v>
      </c>
      <c r="D109" t="s">
        <v>94</v>
      </c>
      <c r="E109" t="s">
        <v>95</v>
      </c>
      <c r="F109" t="s">
        <v>96</v>
      </c>
      <c r="G109" t="s">
        <v>97</v>
      </c>
      <c r="K109" t="s">
        <v>92</v>
      </c>
      <c r="L109" t="s">
        <v>93</v>
      </c>
      <c r="M109" t="s">
        <v>94</v>
      </c>
      <c r="N109" t="s">
        <v>95</v>
      </c>
      <c r="O109" t="s">
        <v>96</v>
      </c>
      <c r="P109" t="s">
        <v>97</v>
      </c>
      <c r="T109" t="s">
        <v>92</v>
      </c>
      <c r="U109" t="s">
        <v>93</v>
      </c>
      <c r="V109" t="s">
        <v>94</v>
      </c>
      <c r="W109" t="s">
        <v>95</v>
      </c>
      <c r="X109" t="s">
        <v>96</v>
      </c>
      <c r="Y109" t="s">
        <v>97</v>
      </c>
    </row>
    <row r="110" spans="1:25" x14ac:dyDescent="0.3">
      <c r="A110" t="s">
        <v>69</v>
      </c>
      <c r="B110">
        <v>0.56199120000000002</v>
      </c>
      <c r="C110">
        <v>0.52138890000000004</v>
      </c>
      <c r="D110">
        <v>0.60575540000000005</v>
      </c>
      <c r="E110" s="1">
        <v>2.8994359999999998E-51</v>
      </c>
      <c r="F110" t="str">
        <f>ROUND(B110,2)&amp;"("&amp;ROUND(C110,2)&amp;"-"&amp;ROUND(D110,2)&amp;")"</f>
        <v>0.56(0.52-0.61)</v>
      </c>
      <c r="G110" t="str">
        <f>IF(E110&lt;0.001,"&lt;0.001",ROUND(E110,3))</f>
        <v>&lt;0.001</v>
      </c>
      <c r="J110" t="s">
        <v>69</v>
      </c>
      <c r="K110">
        <v>0.57226370000000004</v>
      </c>
      <c r="L110">
        <v>0.52946179999999998</v>
      </c>
      <c r="M110">
        <v>0.61852560000000001</v>
      </c>
      <c r="N110" s="1">
        <v>5.6197119999999995E-45</v>
      </c>
      <c r="O110" t="str">
        <f>ROUND(K110,2)&amp;"("&amp;ROUND(L110,2)&amp;"-"&amp;ROUND(M110,2)&amp;")"</f>
        <v>0.57(0.53-0.62)</v>
      </c>
      <c r="P110" t="str">
        <f>IF(N110&lt;0.001,"&lt;0.001",ROUND(N110,3))</f>
        <v>&lt;0.001</v>
      </c>
      <c r="S110" t="s">
        <v>69</v>
      </c>
      <c r="T110">
        <v>0.58144859999999998</v>
      </c>
      <c r="U110">
        <v>0.53982739999999996</v>
      </c>
      <c r="V110">
        <v>0.62627889999999997</v>
      </c>
      <c r="W110">
        <v>0</v>
      </c>
      <c r="X110" t="str">
        <f>ROUND(T110,2)&amp;"("&amp;ROUND(U110,2)&amp;"-"&amp;ROUND(V110,2)&amp;")"</f>
        <v>0.58(0.54-0.63)</v>
      </c>
      <c r="Y110" t="str">
        <f>IF(W110&lt;0.001,"&lt;0.001",ROUND(W110,3))</f>
        <v>&lt;0.001</v>
      </c>
    </row>
    <row r="111" spans="1:25" x14ac:dyDescent="0.3">
      <c r="A111" t="s">
        <v>9</v>
      </c>
      <c r="B111">
        <v>1.052902</v>
      </c>
      <c r="C111">
        <v>1.0510390000000001</v>
      </c>
      <c r="D111">
        <v>1.0547679999999999</v>
      </c>
      <c r="E111">
        <v>0</v>
      </c>
      <c r="F111" t="str">
        <f t="shared" ref="F111:F129" si="24">ROUND(B111,2)&amp;"("&amp;ROUND(C111,2)&amp;"-"&amp;ROUND(D111,2)&amp;")"</f>
        <v>1.05(1.05-1.05)</v>
      </c>
      <c r="G111" t="str">
        <f t="shared" ref="G111:G129" si="25">IF(E111&lt;0.001,"&lt;0.001",ROUND(E111,3))</f>
        <v>&lt;0.001</v>
      </c>
      <c r="J111" t="s">
        <v>9</v>
      </c>
      <c r="K111">
        <v>1.0506789999999999</v>
      </c>
      <c r="L111">
        <v>1.048751</v>
      </c>
      <c r="M111">
        <v>1.052611</v>
      </c>
      <c r="N111">
        <v>0</v>
      </c>
      <c r="O111" t="str">
        <f t="shared" ref="O111:O129" si="26">ROUND(K111,2)&amp;"("&amp;ROUND(L111,2)&amp;"-"&amp;ROUND(M111,2)&amp;")"</f>
        <v>1.05(1.05-1.05)</v>
      </c>
      <c r="P111" t="str">
        <f t="shared" ref="P111:P129" si="27">IF(N111&lt;0.001,"&lt;0.001",ROUND(N111,3))</f>
        <v>&lt;0.001</v>
      </c>
      <c r="S111" t="s">
        <v>9</v>
      </c>
      <c r="T111">
        <v>1.0479940000000001</v>
      </c>
      <c r="U111">
        <v>1.0460020000000001</v>
      </c>
      <c r="V111">
        <v>1.0499890000000001</v>
      </c>
      <c r="W111">
        <v>0</v>
      </c>
      <c r="X111" t="str">
        <f t="shared" ref="X111:X129" si="28">ROUND(T111,2)&amp;"("&amp;ROUND(U111,2)&amp;"-"&amp;ROUND(V111,2)&amp;")"</f>
        <v>1.05(1.05-1.05)</v>
      </c>
      <c r="Y111" t="str">
        <f t="shared" ref="Y111:Y129" si="29">IF(W111&lt;0.001,"&lt;0.001",ROUND(W111,3))</f>
        <v>&lt;0.001</v>
      </c>
    </row>
    <row r="112" spans="1:25" x14ac:dyDescent="0.3">
      <c r="A112" t="s">
        <v>10</v>
      </c>
      <c r="B112">
        <v>2.083602</v>
      </c>
      <c r="C112">
        <v>2.023733</v>
      </c>
      <c r="D112">
        <v>2.145241</v>
      </c>
      <c r="E112">
        <v>0</v>
      </c>
      <c r="F112" t="str">
        <f t="shared" si="24"/>
        <v>2.08(2.02-2.15)</v>
      </c>
      <c r="G112" t="str">
        <f t="shared" si="25"/>
        <v>&lt;0.001</v>
      </c>
      <c r="J112" t="s">
        <v>10</v>
      </c>
      <c r="K112">
        <v>2.02887</v>
      </c>
      <c r="L112">
        <v>1.9680089999999999</v>
      </c>
      <c r="M112">
        <v>2.0916139999999999</v>
      </c>
      <c r="N112">
        <v>0</v>
      </c>
      <c r="O112" t="str">
        <f t="shared" si="26"/>
        <v>2.03(1.97-2.09)</v>
      </c>
      <c r="P112" t="str">
        <f t="shared" si="27"/>
        <v>&lt;0.001</v>
      </c>
      <c r="S112" t="s">
        <v>10</v>
      </c>
      <c r="T112">
        <v>1.949606</v>
      </c>
      <c r="U112">
        <v>1.890649</v>
      </c>
      <c r="V112">
        <v>2.010402</v>
      </c>
      <c r="W112">
        <v>0</v>
      </c>
      <c r="X112" t="str">
        <f t="shared" si="28"/>
        <v>1.95(1.89-2.01)</v>
      </c>
      <c r="Y112" t="str">
        <f t="shared" si="29"/>
        <v>&lt;0.001</v>
      </c>
    </row>
    <row r="113" spans="1:25" x14ac:dyDescent="0.3">
      <c r="A113" t="s">
        <v>14</v>
      </c>
      <c r="B113">
        <v>0.9777034</v>
      </c>
      <c r="C113">
        <v>0.9724294</v>
      </c>
      <c r="D113">
        <v>0.98300600000000005</v>
      </c>
      <c r="E113" s="1">
        <v>3.0618869999999999E-16</v>
      </c>
      <c r="F113" t="str">
        <f t="shared" si="24"/>
        <v>0.98(0.97-0.98)</v>
      </c>
      <c r="G113" t="str">
        <f t="shared" si="25"/>
        <v>&lt;0.001</v>
      </c>
      <c r="J113" t="s">
        <v>14</v>
      </c>
      <c r="K113">
        <v>0.97803030000000002</v>
      </c>
      <c r="L113">
        <v>0.97252609999999995</v>
      </c>
      <c r="M113">
        <v>0.98356560000000004</v>
      </c>
      <c r="N113" s="1">
        <v>1.211855E-14</v>
      </c>
      <c r="O113" t="str">
        <f t="shared" si="26"/>
        <v>0.98(0.97-0.98)</v>
      </c>
      <c r="P113" t="str">
        <f t="shared" si="27"/>
        <v>&lt;0.001</v>
      </c>
      <c r="S113" t="s">
        <v>14</v>
      </c>
      <c r="T113">
        <v>0.97906740000000003</v>
      </c>
      <c r="U113">
        <v>0.97351290000000001</v>
      </c>
      <c r="V113">
        <v>0.98465349999999996</v>
      </c>
      <c r="W113" s="1">
        <v>3.1485919999999998E-13</v>
      </c>
      <c r="X113" t="str">
        <f t="shared" si="28"/>
        <v>0.98(0.97-0.98)</v>
      </c>
      <c r="Y113" t="str">
        <f t="shared" si="29"/>
        <v>&lt;0.001</v>
      </c>
    </row>
    <row r="114" spans="1:25" x14ac:dyDescent="0.3">
      <c r="A114" t="s">
        <v>15</v>
      </c>
      <c r="B114">
        <v>0.98577550000000003</v>
      </c>
      <c r="C114">
        <v>0.93487390000000004</v>
      </c>
      <c r="D114">
        <v>1.0394486000000001</v>
      </c>
      <c r="E114">
        <v>0.59636409999999995</v>
      </c>
      <c r="F114" t="str">
        <f t="shared" si="24"/>
        <v>0.99(0.93-1.04)</v>
      </c>
      <c r="G114">
        <f t="shared" si="25"/>
        <v>0.59599999999999997</v>
      </c>
      <c r="J114" t="s">
        <v>15</v>
      </c>
      <c r="K114">
        <v>0.98636080000000004</v>
      </c>
      <c r="L114">
        <v>0.93325840000000004</v>
      </c>
      <c r="M114">
        <v>1.0424850000000001</v>
      </c>
      <c r="N114">
        <v>0.62669675800000002</v>
      </c>
      <c r="O114" t="str">
        <f t="shared" si="26"/>
        <v>0.99(0.93-1.04)</v>
      </c>
      <c r="P114">
        <f t="shared" si="27"/>
        <v>0.627</v>
      </c>
      <c r="S114" t="s">
        <v>15</v>
      </c>
      <c r="T114">
        <v>0.98941330000000005</v>
      </c>
      <c r="U114">
        <v>0.9363998</v>
      </c>
      <c r="V114">
        <v>1.045428</v>
      </c>
      <c r="W114">
        <v>0.70483431600000002</v>
      </c>
      <c r="X114" t="str">
        <f t="shared" si="28"/>
        <v>0.99(0.94-1.05)</v>
      </c>
      <c r="Y114">
        <f t="shared" si="29"/>
        <v>0.70499999999999996</v>
      </c>
    </row>
    <row r="115" spans="1:25" x14ac:dyDescent="0.3">
      <c r="A115" t="s">
        <v>16</v>
      </c>
      <c r="B115">
        <v>1.0239763</v>
      </c>
      <c r="C115">
        <v>0.97400010000000004</v>
      </c>
      <c r="D115">
        <v>1.0765167</v>
      </c>
      <c r="E115">
        <v>0.35337020000000002</v>
      </c>
      <c r="F115" t="str">
        <f t="shared" si="24"/>
        <v>1.02(0.97-1.08)</v>
      </c>
      <c r="G115">
        <f t="shared" si="25"/>
        <v>0.35299999999999998</v>
      </c>
      <c r="J115" t="s">
        <v>16</v>
      </c>
      <c r="K115">
        <v>1.0365997</v>
      </c>
      <c r="L115">
        <v>0.98399700000000001</v>
      </c>
      <c r="M115">
        <v>1.092014</v>
      </c>
      <c r="N115">
        <v>0.17611260100000001</v>
      </c>
      <c r="O115" t="str">
        <f t="shared" si="26"/>
        <v>1.04(0.98-1.09)</v>
      </c>
      <c r="P115">
        <f t="shared" si="27"/>
        <v>0.17599999999999999</v>
      </c>
      <c r="S115" t="s">
        <v>16</v>
      </c>
      <c r="T115">
        <v>1.0413441999999999</v>
      </c>
      <c r="U115">
        <v>0.98853250000000004</v>
      </c>
      <c r="V115">
        <v>1.0969770000000001</v>
      </c>
      <c r="W115">
        <v>0.12709675400000001</v>
      </c>
      <c r="X115" t="str">
        <f t="shared" si="28"/>
        <v>1.04(0.99-1.1)</v>
      </c>
      <c r="Y115">
        <f t="shared" si="29"/>
        <v>0.127</v>
      </c>
    </row>
    <row r="116" spans="1:25" x14ac:dyDescent="0.3">
      <c r="A116" t="s">
        <v>17</v>
      </c>
      <c r="B116">
        <v>0.96538100000000004</v>
      </c>
      <c r="C116">
        <v>0.92197830000000003</v>
      </c>
      <c r="D116">
        <v>1.0108269000000001</v>
      </c>
      <c r="E116">
        <v>0.13331815999999999</v>
      </c>
      <c r="F116" t="str">
        <f t="shared" si="24"/>
        <v>0.97(0.92-1.01)</v>
      </c>
      <c r="G116">
        <f t="shared" si="25"/>
        <v>0.13300000000000001</v>
      </c>
      <c r="J116" t="s">
        <v>17</v>
      </c>
      <c r="K116">
        <v>0.95895759999999997</v>
      </c>
      <c r="L116">
        <v>0.9139041</v>
      </c>
      <c r="M116">
        <v>1.006232</v>
      </c>
      <c r="N116">
        <v>8.7837167999999993E-2</v>
      </c>
      <c r="O116" t="str">
        <f t="shared" si="26"/>
        <v>0.96(0.91-1.01)</v>
      </c>
      <c r="P116">
        <f t="shared" si="27"/>
        <v>8.7999999999999995E-2</v>
      </c>
      <c r="S116" t="s">
        <v>17</v>
      </c>
      <c r="T116">
        <v>0.95855179999999995</v>
      </c>
      <c r="U116">
        <v>0.91350799999999999</v>
      </c>
      <c r="V116">
        <v>1.005817</v>
      </c>
      <c r="W116">
        <v>8.4740491000000001E-2</v>
      </c>
      <c r="X116" t="str">
        <f t="shared" si="28"/>
        <v>0.96(0.91-1.01)</v>
      </c>
      <c r="Y116">
        <f t="shared" si="29"/>
        <v>8.5000000000000006E-2</v>
      </c>
    </row>
    <row r="117" spans="1:25" x14ac:dyDescent="0.3">
      <c r="A117" t="s">
        <v>18</v>
      </c>
      <c r="B117">
        <v>0.93222539999999998</v>
      </c>
      <c r="C117">
        <v>0.89400729999999995</v>
      </c>
      <c r="D117">
        <v>0.97207719999999997</v>
      </c>
      <c r="E117">
        <v>1.01643E-3</v>
      </c>
      <c r="F117" t="str">
        <f t="shared" si="24"/>
        <v>0.93(0.89-0.97)</v>
      </c>
      <c r="G117">
        <f t="shared" si="25"/>
        <v>1E-3</v>
      </c>
      <c r="J117" t="s">
        <v>18</v>
      </c>
      <c r="K117">
        <v>0.93407839999999998</v>
      </c>
      <c r="L117">
        <v>0.89413799999999999</v>
      </c>
      <c r="M117">
        <v>0.97580299999999998</v>
      </c>
      <c r="N117">
        <v>2.224148E-3</v>
      </c>
      <c r="O117" t="str">
        <f t="shared" si="26"/>
        <v>0.93(0.89-0.98)</v>
      </c>
      <c r="P117">
        <f t="shared" si="27"/>
        <v>2E-3</v>
      </c>
      <c r="S117" t="s">
        <v>18</v>
      </c>
      <c r="T117">
        <v>0.9397335</v>
      </c>
      <c r="U117">
        <v>0.89948300000000003</v>
      </c>
      <c r="V117">
        <v>0.98178500000000002</v>
      </c>
      <c r="W117">
        <v>5.3848020000000002E-3</v>
      </c>
      <c r="X117" t="str">
        <f t="shared" si="28"/>
        <v>0.94(0.9-0.98)</v>
      </c>
      <c r="Y117">
        <f t="shared" si="29"/>
        <v>5.0000000000000001E-3</v>
      </c>
    </row>
    <row r="118" spans="1:25" x14ac:dyDescent="0.3">
      <c r="A118" t="s">
        <v>19</v>
      </c>
      <c r="B118">
        <v>1.2844899999999999</v>
      </c>
      <c r="C118">
        <v>1.235228</v>
      </c>
      <c r="D118">
        <v>1.335718</v>
      </c>
      <c r="E118" s="1">
        <v>4.0875859999999999E-36</v>
      </c>
      <c r="F118" t="str">
        <f t="shared" si="24"/>
        <v>1.28(1.24-1.34)</v>
      </c>
      <c r="G118" t="str">
        <f t="shared" si="25"/>
        <v>&lt;0.001</v>
      </c>
      <c r="J118" t="s">
        <v>19</v>
      </c>
      <c r="K118">
        <v>1.2705340000000001</v>
      </c>
      <c r="L118">
        <v>1.2199169999999999</v>
      </c>
      <c r="M118">
        <v>1.323251</v>
      </c>
      <c r="N118" s="1">
        <v>7.9756689999999998E-31</v>
      </c>
      <c r="O118" t="str">
        <f t="shared" si="26"/>
        <v>1.27(1.22-1.32)</v>
      </c>
      <c r="P118" t="str">
        <f t="shared" si="27"/>
        <v>&lt;0.001</v>
      </c>
      <c r="S118" t="s">
        <v>19</v>
      </c>
      <c r="T118">
        <v>1.257115</v>
      </c>
      <c r="U118">
        <v>1.2081580000000001</v>
      </c>
      <c r="V118">
        <v>1.3080560000000001</v>
      </c>
      <c r="W118">
        <v>0</v>
      </c>
      <c r="X118" t="str">
        <f t="shared" si="28"/>
        <v>1.26(1.21-1.31)</v>
      </c>
      <c r="Y118" t="str">
        <f t="shared" si="29"/>
        <v>&lt;0.001</v>
      </c>
    </row>
    <row r="119" spans="1:25" x14ac:dyDescent="0.3">
      <c r="A119" t="s">
        <v>20</v>
      </c>
      <c r="B119">
        <v>1.795798</v>
      </c>
      <c r="C119">
        <v>1.6994320000000001</v>
      </c>
      <c r="D119">
        <v>1.897629</v>
      </c>
      <c r="E119" s="1">
        <v>3.9758630000000004E-96</v>
      </c>
      <c r="F119" t="str">
        <f t="shared" si="24"/>
        <v>1.8(1.7-1.9)</v>
      </c>
      <c r="G119" t="str">
        <f t="shared" si="25"/>
        <v>&lt;0.001</v>
      </c>
      <c r="J119" t="s">
        <v>20</v>
      </c>
      <c r="K119">
        <v>1.718072</v>
      </c>
      <c r="L119">
        <v>1.621264</v>
      </c>
      <c r="M119">
        <v>1.8206599999999999</v>
      </c>
      <c r="N119" s="1">
        <v>1.0001020000000001E-74</v>
      </c>
      <c r="O119" t="str">
        <f t="shared" si="26"/>
        <v>1.72(1.62-1.82)</v>
      </c>
      <c r="P119" t="str">
        <f t="shared" si="27"/>
        <v>&lt;0.001</v>
      </c>
      <c r="S119" t="s">
        <v>20</v>
      </c>
      <c r="T119">
        <v>1.660126</v>
      </c>
      <c r="U119">
        <v>1.565364</v>
      </c>
      <c r="V119">
        <v>1.7606250000000001</v>
      </c>
      <c r="W119">
        <v>0</v>
      </c>
      <c r="X119" t="str">
        <f t="shared" si="28"/>
        <v>1.66(1.57-1.76)</v>
      </c>
      <c r="Y119" t="str">
        <f t="shared" si="29"/>
        <v>&lt;0.001</v>
      </c>
    </row>
    <row r="120" spans="1:25" x14ac:dyDescent="0.3">
      <c r="A120" t="s">
        <v>21</v>
      </c>
      <c r="B120">
        <v>2.6819790000000001</v>
      </c>
      <c r="C120">
        <v>2.5586720000000001</v>
      </c>
      <c r="D120">
        <v>2.811229</v>
      </c>
      <c r="E120" s="1">
        <v>0</v>
      </c>
      <c r="F120" t="str">
        <f t="shared" si="24"/>
        <v>2.68(2.56-2.81)</v>
      </c>
      <c r="G120" t="str">
        <f t="shared" si="25"/>
        <v>&lt;0.001</v>
      </c>
      <c r="J120" t="s">
        <v>21</v>
      </c>
      <c r="K120">
        <v>2.6369579999999999</v>
      </c>
      <c r="L120">
        <v>2.5109319999999999</v>
      </c>
      <c r="M120">
        <v>2.7693080000000001</v>
      </c>
      <c r="N120" s="1">
        <v>0</v>
      </c>
      <c r="O120" t="str">
        <f t="shared" si="26"/>
        <v>2.64(2.51-2.77)</v>
      </c>
      <c r="P120" t="str">
        <f t="shared" si="27"/>
        <v>&lt;0.001</v>
      </c>
      <c r="S120" t="s">
        <v>21</v>
      </c>
      <c r="T120">
        <v>2.4987590000000002</v>
      </c>
      <c r="U120">
        <v>2.3783249999999998</v>
      </c>
      <c r="V120">
        <v>2.6252909999999998</v>
      </c>
      <c r="W120">
        <v>0</v>
      </c>
      <c r="X120" t="str">
        <f t="shared" si="28"/>
        <v>2.5(2.38-2.63)</v>
      </c>
      <c r="Y120" t="str">
        <f t="shared" si="29"/>
        <v>&lt;0.001</v>
      </c>
    </row>
    <row r="121" spans="1:25" x14ac:dyDescent="0.3">
      <c r="A121" t="s">
        <v>22</v>
      </c>
      <c r="B121">
        <v>0.79434159999999998</v>
      </c>
      <c r="C121">
        <v>0.76611739999999995</v>
      </c>
      <c r="D121">
        <v>0.82360560000000005</v>
      </c>
      <c r="E121" s="1">
        <v>1.042685E-35</v>
      </c>
      <c r="F121" t="str">
        <f t="shared" si="24"/>
        <v>0.79(0.77-0.82)</v>
      </c>
      <c r="G121" t="str">
        <f t="shared" si="25"/>
        <v>&lt;0.001</v>
      </c>
      <c r="J121" t="s">
        <v>22</v>
      </c>
      <c r="K121">
        <v>0.79410150000000002</v>
      </c>
      <c r="L121">
        <v>0.76466889999999998</v>
      </c>
      <c r="M121">
        <v>0.82466700000000004</v>
      </c>
      <c r="N121" s="1">
        <v>5.4898679999999998E-33</v>
      </c>
      <c r="O121" t="str">
        <f t="shared" si="26"/>
        <v>0.79(0.76-0.82)</v>
      </c>
      <c r="P121" t="str">
        <f t="shared" si="27"/>
        <v>&lt;0.001</v>
      </c>
      <c r="S121" t="s">
        <v>22</v>
      </c>
      <c r="T121">
        <v>0.80021109999999995</v>
      </c>
      <c r="U121">
        <v>0.77081390000000005</v>
      </c>
      <c r="V121">
        <v>0.83072950000000001</v>
      </c>
      <c r="W121">
        <v>0</v>
      </c>
      <c r="X121" t="str">
        <f t="shared" si="28"/>
        <v>0.8(0.77-0.83)</v>
      </c>
      <c r="Y121" t="str">
        <f t="shared" si="29"/>
        <v>&lt;0.001</v>
      </c>
    </row>
    <row r="122" spans="1:25" x14ac:dyDescent="0.3">
      <c r="A122" t="s">
        <v>23</v>
      </c>
      <c r="B122">
        <v>0.3047318</v>
      </c>
      <c r="C122">
        <v>0.28983130000000001</v>
      </c>
      <c r="D122">
        <v>0.32039830000000002</v>
      </c>
      <c r="E122">
        <v>0</v>
      </c>
      <c r="F122" t="str">
        <f t="shared" si="24"/>
        <v>0.3(0.29-0.32)</v>
      </c>
      <c r="G122" t="str">
        <f t="shared" si="25"/>
        <v>&lt;0.001</v>
      </c>
      <c r="J122" t="s">
        <v>23</v>
      </c>
      <c r="K122">
        <v>0.29327170000000002</v>
      </c>
      <c r="L122">
        <v>0.278611</v>
      </c>
      <c r="M122">
        <v>0.30870379999999997</v>
      </c>
      <c r="N122">
        <v>0</v>
      </c>
      <c r="O122" t="str">
        <f t="shared" si="26"/>
        <v>0.29(0.28-0.31)</v>
      </c>
      <c r="P122" t="str">
        <f t="shared" si="27"/>
        <v>&lt;0.001</v>
      </c>
      <c r="S122" t="s">
        <v>23</v>
      </c>
      <c r="T122">
        <v>0.30507469999999998</v>
      </c>
      <c r="U122">
        <v>0.28957169999999999</v>
      </c>
      <c r="V122">
        <v>0.32140780000000002</v>
      </c>
      <c r="W122">
        <v>0</v>
      </c>
      <c r="X122" t="str">
        <f t="shared" si="28"/>
        <v>0.31(0.29-0.32)</v>
      </c>
      <c r="Y122" t="str">
        <f t="shared" si="29"/>
        <v>&lt;0.001</v>
      </c>
    </row>
    <row r="123" spans="1:25" x14ac:dyDescent="0.3">
      <c r="A123" t="s">
        <v>24</v>
      </c>
      <c r="B123">
        <v>3.281574</v>
      </c>
      <c r="C123">
        <v>3.1211150000000001</v>
      </c>
      <c r="D123">
        <v>3.4502830000000002</v>
      </c>
      <c r="E123">
        <v>0</v>
      </c>
      <c r="F123" t="str">
        <f t="shared" si="24"/>
        <v>3.28(3.12-3.45)</v>
      </c>
      <c r="G123" t="str">
        <f t="shared" si="25"/>
        <v>&lt;0.001</v>
      </c>
      <c r="J123" t="s">
        <v>24</v>
      </c>
      <c r="K123">
        <v>3.4098069999999998</v>
      </c>
      <c r="L123">
        <v>3.2393510000000001</v>
      </c>
      <c r="M123">
        <v>3.5892330000000001</v>
      </c>
      <c r="N123">
        <v>0</v>
      </c>
      <c r="O123" t="str">
        <f t="shared" si="26"/>
        <v>3.41(3.24-3.59)</v>
      </c>
      <c r="P123" t="str">
        <f t="shared" si="27"/>
        <v>&lt;0.001</v>
      </c>
      <c r="S123" t="s">
        <v>24</v>
      </c>
      <c r="T123">
        <v>3.2778849999999999</v>
      </c>
      <c r="U123">
        <v>3.1113119999999999</v>
      </c>
      <c r="V123">
        <v>3.453376</v>
      </c>
      <c r="W123">
        <v>0</v>
      </c>
      <c r="X123" t="str">
        <f t="shared" si="28"/>
        <v>3.28(3.11-3.45)</v>
      </c>
      <c r="Y123" t="str">
        <f t="shared" si="29"/>
        <v>&lt;0.001</v>
      </c>
    </row>
    <row r="124" spans="1:25" x14ac:dyDescent="0.3">
      <c r="A124" t="s">
        <v>25</v>
      </c>
      <c r="B124">
        <v>2.9768940000000002</v>
      </c>
      <c r="C124">
        <v>2.8217379999999999</v>
      </c>
      <c r="D124">
        <v>3.1405810000000001</v>
      </c>
      <c r="E124">
        <v>0</v>
      </c>
      <c r="F124" t="str">
        <f t="shared" si="24"/>
        <v>2.98(2.82-3.14)</v>
      </c>
      <c r="G124" t="str">
        <f t="shared" si="25"/>
        <v>&lt;0.001</v>
      </c>
      <c r="J124" t="s">
        <v>25</v>
      </c>
      <c r="K124">
        <v>3.645349</v>
      </c>
      <c r="L124">
        <v>3.431451</v>
      </c>
      <c r="M124">
        <v>3.872579</v>
      </c>
      <c r="N124">
        <v>0</v>
      </c>
      <c r="O124" t="str">
        <f t="shared" si="26"/>
        <v>3.65(3.43-3.87)</v>
      </c>
      <c r="P124" t="str">
        <f t="shared" si="27"/>
        <v>&lt;0.001</v>
      </c>
      <c r="S124" t="s">
        <v>25</v>
      </c>
      <c r="T124">
        <v>3.603847</v>
      </c>
      <c r="U124">
        <v>3.3934220000000002</v>
      </c>
      <c r="V124">
        <v>3.827321</v>
      </c>
      <c r="W124">
        <v>0</v>
      </c>
      <c r="X124" t="str">
        <f t="shared" si="28"/>
        <v>3.6(3.39-3.83)</v>
      </c>
      <c r="Y124" t="str">
        <f t="shared" si="29"/>
        <v>&lt;0.001</v>
      </c>
    </row>
    <row r="125" spans="1:25" x14ac:dyDescent="0.3">
      <c r="A125" t="s">
        <v>26</v>
      </c>
      <c r="B125">
        <v>10.307499</v>
      </c>
      <c r="C125">
        <v>9.8223129999999994</v>
      </c>
      <c r="D125">
        <v>10.816649999999999</v>
      </c>
      <c r="E125">
        <v>0</v>
      </c>
      <c r="F125" t="str">
        <f t="shared" si="24"/>
        <v>10.31(9.82-10.82)</v>
      </c>
      <c r="G125" t="str">
        <f t="shared" si="25"/>
        <v>&lt;0.001</v>
      </c>
      <c r="J125" t="s">
        <v>26</v>
      </c>
      <c r="K125">
        <v>13.330276</v>
      </c>
      <c r="L125">
        <v>12.616251999999999</v>
      </c>
      <c r="M125">
        <v>14.084709999999999</v>
      </c>
      <c r="N125">
        <v>0</v>
      </c>
      <c r="O125" t="str">
        <f t="shared" si="26"/>
        <v>13.33(12.62-14.08)</v>
      </c>
      <c r="P125" t="str">
        <f t="shared" si="27"/>
        <v>&lt;0.001</v>
      </c>
      <c r="S125" t="s">
        <v>26</v>
      </c>
      <c r="T125">
        <v>12.692648999999999</v>
      </c>
      <c r="U125">
        <v>12.015959000000001</v>
      </c>
      <c r="V125">
        <v>13.407446999999999</v>
      </c>
      <c r="W125">
        <v>0</v>
      </c>
      <c r="X125" t="str">
        <f t="shared" si="28"/>
        <v>12.69(12.02-13.41)</v>
      </c>
      <c r="Y125" t="str">
        <f t="shared" si="29"/>
        <v>&lt;0.001</v>
      </c>
    </row>
    <row r="126" spans="1:25" x14ac:dyDescent="0.3">
      <c r="A126" t="s">
        <v>27</v>
      </c>
      <c r="B126">
        <v>5.0084169999999997</v>
      </c>
      <c r="C126">
        <v>4.6622529999999998</v>
      </c>
      <c r="D126">
        <v>5.3802839999999996</v>
      </c>
      <c r="E126">
        <v>0</v>
      </c>
      <c r="F126" t="str">
        <f t="shared" si="24"/>
        <v>5.01(4.66-5.38)</v>
      </c>
      <c r="G126" t="str">
        <f t="shared" si="25"/>
        <v>&lt;0.001</v>
      </c>
      <c r="J126" t="s">
        <v>27</v>
      </c>
      <c r="K126">
        <v>5.7699350000000003</v>
      </c>
      <c r="L126">
        <v>5.3266780000000002</v>
      </c>
      <c r="M126">
        <v>6.2500780000000002</v>
      </c>
      <c r="N126">
        <v>0</v>
      </c>
      <c r="O126" t="str">
        <f t="shared" si="26"/>
        <v>5.77(5.33-6.25)</v>
      </c>
      <c r="P126" t="str">
        <f t="shared" si="27"/>
        <v>&lt;0.001</v>
      </c>
      <c r="S126" t="s">
        <v>27</v>
      </c>
      <c r="T126">
        <v>5.4157849999999996</v>
      </c>
      <c r="U126">
        <v>4.986065</v>
      </c>
      <c r="V126">
        <v>5.8825409999999998</v>
      </c>
      <c r="W126">
        <v>0</v>
      </c>
      <c r="X126" t="str">
        <f t="shared" si="28"/>
        <v>5.42(4.99-5.88)</v>
      </c>
      <c r="Y126" t="str">
        <f t="shared" si="29"/>
        <v>&lt;0.001</v>
      </c>
    </row>
    <row r="127" spans="1:25" x14ac:dyDescent="0.3">
      <c r="A127" t="s">
        <v>28</v>
      </c>
      <c r="B127">
        <v>0.13701089999999999</v>
      </c>
      <c r="C127">
        <v>0.13199640000000001</v>
      </c>
      <c r="D127">
        <v>0.14221590000000001</v>
      </c>
      <c r="E127">
        <v>0</v>
      </c>
      <c r="F127" t="str">
        <f t="shared" si="24"/>
        <v>0.14(0.13-0.14)</v>
      </c>
      <c r="G127" t="str">
        <f t="shared" si="25"/>
        <v>&lt;0.001</v>
      </c>
      <c r="J127" t="s">
        <v>28</v>
      </c>
      <c r="K127">
        <v>0.1222801</v>
      </c>
      <c r="L127">
        <v>0.11743149999999999</v>
      </c>
      <c r="M127">
        <v>0.12732889999999999</v>
      </c>
      <c r="N127">
        <v>0</v>
      </c>
      <c r="O127" t="str">
        <f t="shared" si="26"/>
        <v>0.12(0.12-0.13)</v>
      </c>
      <c r="P127" t="str">
        <f t="shared" si="27"/>
        <v>&lt;0.001</v>
      </c>
      <c r="S127" t="s">
        <v>28</v>
      </c>
      <c r="T127">
        <v>0.1305327</v>
      </c>
      <c r="U127">
        <v>0.1255009</v>
      </c>
      <c r="V127">
        <v>0.1357662</v>
      </c>
      <c r="W127">
        <v>0</v>
      </c>
      <c r="X127" t="str">
        <f t="shared" si="28"/>
        <v>0.13(0.13-0.14)</v>
      </c>
      <c r="Y127" t="str">
        <f t="shared" si="29"/>
        <v>&lt;0.001</v>
      </c>
    </row>
    <row r="128" spans="1:25" x14ac:dyDescent="0.3">
      <c r="A128" t="s">
        <v>29</v>
      </c>
      <c r="B128">
        <v>2.1763910000000002</v>
      </c>
      <c r="C128">
        <v>2.1011769999999999</v>
      </c>
      <c r="D128">
        <v>2.2542970000000002</v>
      </c>
      <c r="E128">
        <v>0</v>
      </c>
      <c r="F128" t="str">
        <f t="shared" si="24"/>
        <v>2.18(2.1-2.25)</v>
      </c>
      <c r="G128" t="str">
        <f t="shared" si="25"/>
        <v>&lt;0.001</v>
      </c>
      <c r="J128" t="s">
        <v>29</v>
      </c>
      <c r="K128">
        <v>2.2737440000000002</v>
      </c>
      <c r="L128">
        <v>2.1929349999999999</v>
      </c>
      <c r="M128">
        <v>2.3575300000000001</v>
      </c>
      <c r="N128">
        <v>0</v>
      </c>
      <c r="O128" t="str">
        <f t="shared" si="26"/>
        <v>2.27(2.19-2.36)</v>
      </c>
      <c r="P128" t="str">
        <f t="shared" si="27"/>
        <v>&lt;0.001</v>
      </c>
      <c r="S128" t="s">
        <v>29</v>
      </c>
      <c r="T128">
        <v>2.2491479999999999</v>
      </c>
      <c r="U128">
        <v>2.1722899999999998</v>
      </c>
      <c r="V128">
        <v>2.3287249999999999</v>
      </c>
      <c r="W128">
        <v>0</v>
      </c>
      <c r="X128" t="str">
        <f t="shared" si="28"/>
        <v>2.25(2.17-2.33)</v>
      </c>
      <c r="Y128" t="str">
        <f t="shared" si="29"/>
        <v>&lt;0.001</v>
      </c>
    </row>
    <row r="129" spans="1:25" x14ac:dyDescent="0.3">
      <c r="A129" t="s">
        <v>30</v>
      </c>
      <c r="B129">
        <v>2.2100819999999999</v>
      </c>
      <c r="C129">
        <v>2.1462080000000001</v>
      </c>
      <c r="D129">
        <v>2.2758569999999998</v>
      </c>
      <c r="E129">
        <v>0</v>
      </c>
      <c r="F129" t="str">
        <f t="shared" si="24"/>
        <v>2.21(2.15-2.28)</v>
      </c>
      <c r="G129" t="str">
        <f t="shared" si="25"/>
        <v>&lt;0.001</v>
      </c>
      <c r="J129" t="s">
        <v>30</v>
      </c>
      <c r="K129">
        <v>2.4150130000000001</v>
      </c>
      <c r="L129">
        <v>2.3419110000000001</v>
      </c>
      <c r="M129">
        <v>2.4903960000000001</v>
      </c>
      <c r="N129">
        <v>0</v>
      </c>
      <c r="O129" t="str">
        <f t="shared" si="26"/>
        <v>2.42(2.34-2.49)</v>
      </c>
      <c r="P129" t="str">
        <f t="shared" si="27"/>
        <v>&lt;0.001</v>
      </c>
      <c r="S129" t="s">
        <v>30</v>
      </c>
      <c r="T129">
        <v>2.41994</v>
      </c>
      <c r="U129">
        <v>2.3460839999999998</v>
      </c>
      <c r="V129">
        <v>2.4961220000000002</v>
      </c>
      <c r="W129">
        <v>0</v>
      </c>
      <c r="X129" t="str">
        <f t="shared" si="28"/>
        <v>2.42(2.35-2.5)</v>
      </c>
      <c r="Y129" t="str">
        <f t="shared" si="29"/>
        <v>&lt;0.001</v>
      </c>
    </row>
    <row r="133" spans="1:25" x14ac:dyDescent="0.3">
      <c r="A133" t="s">
        <v>98</v>
      </c>
      <c r="J133" t="s">
        <v>99</v>
      </c>
      <c r="S133" t="s">
        <v>100</v>
      </c>
    </row>
    <row r="134" spans="1:25" x14ac:dyDescent="0.3">
      <c r="B134" t="s">
        <v>92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K134" t="s">
        <v>92</v>
      </c>
      <c r="L134" t="s">
        <v>93</v>
      </c>
      <c r="M134" t="s">
        <v>94</v>
      </c>
      <c r="N134" t="s">
        <v>95</v>
      </c>
      <c r="O134" t="s">
        <v>96</v>
      </c>
      <c r="P134" t="s">
        <v>97</v>
      </c>
      <c r="T134" t="s">
        <v>92</v>
      </c>
      <c r="U134" t="s">
        <v>93</v>
      </c>
      <c r="V134" t="s">
        <v>94</v>
      </c>
      <c r="W134" t="s">
        <v>95</v>
      </c>
      <c r="X134" t="s">
        <v>96</v>
      </c>
      <c r="Y134" t="s">
        <v>97</v>
      </c>
    </row>
    <row r="135" spans="1:25" x14ac:dyDescent="0.3">
      <c r="A135" t="s">
        <v>1</v>
      </c>
      <c r="B135">
        <v>0.65560890000000005</v>
      </c>
      <c r="C135">
        <v>0.60786099999999998</v>
      </c>
      <c r="D135">
        <v>0.70710740000000005</v>
      </c>
      <c r="E135" s="1">
        <v>7.189429E-28</v>
      </c>
      <c r="F135" t="str">
        <f>ROUND(B135,2)&amp;"("&amp;ROUND(C135,2)&amp;"-"&amp;ROUND(D135,2)&amp;")"</f>
        <v>0.66(0.61-0.71)</v>
      </c>
      <c r="G135" t="str">
        <f>IF(E135&lt;0.001,"&lt;0.001",ROUND(E135,3))</f>
        <v>&lt;0.001</v>
      </c>
      <c r="J135" t="s">
        <v>1</v>
      </c>
      <c r="K135">
        <v>0.65946660000000001</v>
      </c>
      <c r="L135">
        <v>0.60974059999999997</v>
      </c>
      <c r="M135">
        <v>0.71324790000000005</v>
      </c>
      <c r="N135" s="1">
        <v>2.2747680000000001E-25</v>
      </c>
      <c r="O135" t="str">
        <f>ROUND(K135,2)&amp;"("&amp;ROUND(L135,2)&amp;"-"&amp;ROUND(M135,2)&amp;")"</f>
        <v>0.66(0.61-0.71)</v>
      </c>
      <c r="P135" t="str">
        <f>IF(N135&lt;0.001,"&lt;0.001",ROUND(N135,3))</f>
        <v>&lt;0.001</v>
      </c>
      <c r="S135" t="s">
        <v>1</v>
      </c>
      <c r="T135">
        <v>0.66870890000000005</v>
      </c>
      <c r="U135">
        <v>0.62089559999999999</v>
      </c>
      <c r="V135">
        <v>0.72020419999999996</v>
      </c>
      <c r="W135" s="1">
        <v>0</v>
      </c>
      <c r="X135" t="str">
        <f>ROUND(T135,2)&amp;"("&amp;ROUND(U135,2)&amp;"-"&amp;ROUND(V135,2)&amp;")"</f>
        <v>0.67(0.62-0.72)</v>
      </c>
      <c r="Y135" t="str">
        <f>IF(W135&lt;0.001,"&lt;0.001",ROUND(W135,3))</f>
        <v>&lt;0.001</v>
      </c>
    </row>
    <row r="136" spans="1:25" x14ac:dyDescent="0.3">
      <c r="A136" t="s">
        <v>10</v>
      </c>
      <c r="B136">
        <v>1.8155075000000001</v>
      </c>
      <c r="C136">
        <v>1.7619403</v>
      </c>
      <c r="D136">
        <v>1.8707033</v>
      </c>
      <c r="E136" s="1">
        <v>0</v>
      </c>
      <c r="F136" t="str">
        <f t="shared" ref="F136:F153" si="30">ROUND(B136,2)&amp;"("&amp;ROUND(C136,2)&amp;"-"&amp;ROUND(D136,2)&amp;")"</f>
        <v>1.82(1.76-1.87)</v>
      </c>
      <c r="G136" t="str">
        <f t="shared" ref="G136:G153" si="31">IF(E136&lt;0.001,"&lt;0.001",ROUND(E136,3))</f>
        <v>&lt;0.001</v>
      </c>
      <c r="J136" t="s">
        <v>10</v>
      </c>
      <c r="K136">
        <v>1.7618608</v>
      </c>
      <c r="L136">
        <v>1.7075572000000001</v>
      </c>
      <c r="M136">
        <v>1.8178913999999999</v>
      </c>
      <c r="N136" s="1">
        <v>2.2020939999999999E-275</v>
      </c>
      <c r="O136" t="str">
        <f t="shared" ref="O136:O153" si="32">ROUND(K136,2)&amp;"("&amp;ROUND(L136,2)&amp;"-"&amp;ROUND(M136,2)&amp;")"</f>
        <v>1.76(1.71-1.82)</v>
      </c>
      <c r="P136" t="str">
        <f t="shared" ref="P136:P153" si="33">IF(N136&lt;0.001,"&lt;0.001",ROUND(N136,3))</f>
        <v>&lt;0.001</v>
      </c>
      <c r="S136" t="s">
        <v>10</v>
      </c>
      <c r="T136">
        <v>1.6470904</v>
      </c>
      <c r="U136">
        <v>1.5925332999999999</v>
      </c>
      <c r="V136">
        <v>1.7035165000000001</v>
      </c>
      <c r="W136" s="1">
        <v>0</v>
      </c>
      <c r="X136" t="str">
        <f t="shared" ref="X136:X153" si="34">ROUND(T136,2)&amp;"("&amp;ROUND(U136,2)&amp;"-"&amp;ROUND(V136,2)&amp;")"</f>
        <v>1.65(1.59-1.7)</v>
      </c>
      <c r="Y136" t="str">
        <f t="shared" ref="Y136:Y153" si="35">IF(W136&lt;0.001,"&lt;0.001",ROUND(W136,3))</f>
        <v>&lt;0.001</v>
      </c>
    </row>
    <row r="137" spans="1:25" x14ac:dyDescent="0.3">
      <c r="A137" t="s">
        <v>14</v>
      </c>
      <c r="B137">
        <v>0.97495989999999999</v>
      </c>
      <c r="C137">
        <v>0.96967789999999998</v>
      </c>
      <c r="D137">
        <v>0.98027059999999999</v>
      </c>
      <c r="E137" s="1">
        <v>5.7251170000000001E-20</v>
      </c>
      <c r="F137" t="str">
        <f t="shared" si="30"/>
        <v>0.97(0.97-0.98)</v>
      </c>
      <c r="G137" t="str">
        <f t="shared" si="31"/>
        <v>&lt;0.001</v>
      </c>
      <c r="J137" t="s">
        <v>14</v>
      </c>
      <c r="K137">
        <v>0.97509400000000002</v>
      </c>
      <c r="L137">
        <v>0.96958390000000005</v>
      </c>
      <c r="M137">
        <v>0.98063540000000005</v>
      </c>
      <c r="N137" s="1">
        <v>2.7042449999999998E-18</v>
      </c>
      <c r="O137" t="str">
        <f t="shared" si="32"/>
        <v>0.98(0.97-0.98)</v>
      </c>
      <c r="P137" t="str">
        <f t="shared" si="33"/>
        <v>&lt;0.001</v>
      </c>
      <c r="S137" t="s">
        <v>14</v>
      </c>
      <c r="T137">
        <v>0.97805560000000002</v>
      </c>
      <c r="U137">
        <v>0.9721069</v>
      </c>
      <c r="V137">
        <v>0.98404080000000005</v>
      </c>
      <c r="W137" s="1">
        <v>1.0140779999999999E-12</v>
      </c>
      <c r="X137" t="str">
        <f t="shared" si="34"/>
        <v>0.98(0.97-0.98)</v>
      </c>
      <c r="Y137" t="str">
        <f t="shared" si="35"/>
        <v>&lt;0.001</v>
      </c>
    </row>
    <row r="138" spans="1:25" x14ac:dyDescent="0.3">
      <c r="A138" t="s">
        <v>15</v>
      </c>
      <c r="B138">
        <v>0.93306920000000004</v>
      </c>
      <c r="C138">
        <v>0.88485179999999997</v>
      </c>
      <c r="D138">
        <v>0.98391419999999996</v>
      </c>
      <c r="E138" s="1">
        <v>1.0497589999999999E-2</v>
      </c>
      <c r="F138" t="str">
        <f t="shared" si="30"/>
        <v>0.93(0.88-0.98)</v>
      </c>
      <c r="G138">
        <f t="shared" si="31"/>
        <v>0.01</v>
      </c>
      <c r="J138" t="s">
        <v>15</v>
      </c>
      <c r="K138">
        <v>0.93164139999999995</v>
      </c>
      <c r="L138">
        <v>0.88144389999999995</v>
      </c>
      <c r="M138">
        <v>0.98469759999999995</v>
      </c>
      <c r="N138" s="1">
        <v>1.2222459999999999E-2</v>
      </c>
      <c r="O138" t="str">
        <f t="shared" si="32"/>
        <v>0.93(0.88-0.98)</v>
      </c>
      <c r="P138">
        <f t="shared" si="33"/>
        <v>1.2E-2</v>
      </c>
      <c r="S138" t="s">
        <v>15</v>
      </c>
      <c r="T138">
        <v>0.95399659999999997</v>
      </c>
      <c r="U138">
        <v>0.89954279999999998</v>
      </c>
      <c r="V138">
        <v>1.0117468000000001</v>
      </c>
      <c r="W138" s="1">
        <v>0.1162879</v>
      </c>
      <c r="X138" t="str">
        <f t="shared" si="34"/>
        <v>0.95(0.9-1.01)</v>
      </c>
      <c r="Y138">
        <f t="shared" si="35"/>
        <v>0.11600000000000001</v>
      </c>
    </row>
    <row r="139" spans="1:25" x14ac:dyDescent="0.3">
      <c r="A139" t="s">
        <v>16</v>
      </c>
      <c r="B139">
        <v>0.95484709999999995</v>
      </c>
      <c r="C139">
        <v>0.90818160000000003</v>
      </c>
      <c r="D139">
        <v>1.0039104999999999</v>
      </c>
      <c r="E139" s="1">
        <v>7.071529E-2</v>
      </c>
      <c r="F139" t="str">
        <f t="shared" si="30"/>
        <v>0.95(0.91-1)</v>
      </c>
      <c r="G139">
        <f t="shared" si="31"/>
        <v>7.0999999999999994E-2</v>
      </c>
      <c r="J139" t="s">
        <v>16</v>
      </c>
      <c r="K139">
        <v>0.96629480000000001</v>
      </c>
      <c r="L139">
        <v>0.91719030000000001</v>
      </c>
      <c r="M139">
        <v>1.0180283000000001</v>
      </c>
      <c r="N139" s="1">
        <v>0.19757530000000001</v>
      </c>
      <c r="O139" t="str">
        <f t="shared" si="32"/>
        <v>0.97(0.92-1.02)</v>
      </c>
      <c r="P139">
        <f t="shared" si="33"/>
        <v>0.19800000000000001</v>
      </c>
      <c r="S139" t="s">
        <v>16</v>
      </c>
      <c r="T139">
        <v>0.98730589999999996</v>
      </c>
      <c r="U139">
        <v>0.93348129999999996</v>
      </c>
      <c r="V139">
        <v>1.0442339</v>
      </c>
      <c r="W139" s="1">
        <v>0.65511439999999999</v>
      </c>
      <c r="X139" t="str">
        <f t="shared" si="34"/>
        <v>0.99(0.93-1.04)</v>
      </c>
      <c r="Y139">
        <f t="shared" si="35"/>
        <v>0.65500000000000003</v>
      </c>
    </row>
    <row r="140" spans="1:25" x14ac:dyDescent="0.3">
      <c r="A140" t="s">
        <v>17</v>
      </c>
      <c r="B140">
        <v>0.92069659999999998</v>
      </c>
      <c r="C140">
        <v>0.87923600000000002</v>
      </c>
      <c r="D140">
        <v>0.96411230000000003</v>
      </c>
      <c r="E140" s="1">
        <v>4.4047029999999998E-4</v>
      </c>
      <c r="F140" t="str">
        <f t="shared" si="30"/>
        <v>0.92(0.88-0.96)</v>
      </c>
      <c r="G140" t="str">
        <f t="shared" si="31"/>
        <v>&lt;0.001</v>
      </c>
      <c r="J140" t="s">
        <v>17</v>
      </c>
      <c r="K140">
        <v>0.9152884</v>
      </c>
      <c r="L140">
        <v>0.87221389999999999</v>
      </c>
      <c r="M140">
        <v>0.96049010000000001</v>
      </c>
      <c r="N140" s="1">
        <v>3.1943100000000001E-4</v>
      </c>
      <c r="O140" t="str">
        <f t="shared" si="32"/>
        <v>0.92(0.87-0.96)</v>
      </c>
      <c r="P140" t="str">
        <f t="shared" si="33"/>
        <v>&lt;0.001</v>
      </c>
      <c r="S140" t="s">
        <v>17</v>
      </c>
      <c r="T140">
        <v>0.9159503</v>
      </c>
      <c r="U140">
        <v>0.86916280000000001</v>
      </c>
      <c r="V140">
        <v>0.96525640000000001</v>
      </c>
      <c r="W140" s="1">
        <v>1.0311579999999999E-3</v>
      </c>
      <c r="X140" t="str">
        <f t="shared" si="34"/>
        <v>0.92(0.87-0.97)</v>
      </c>
      <c r="Y140">
        <f t="shared" si="35"/>
        <v>1E-3</v>
      </c>
    </row>
    <row r="141" spans="1:25" x14ac:dyDescent="0.3">
      <c r="A141" t="s">
        <v>18</v>
      </c>
      <c r="B141">
        <v>0.93992469999999995</v>
      </c>
      <c r="C141">
        <v>0.90132420000000002</v>
      </c>
      <c r="D141">
        <v>0.98017829999999995</v>
      </c>
      <c r="E141" s="1">
        <v>3.7830910000000001E-3</v>
      </c>
      <c r="F141" t="str">
        <f t="shared" si="30"/>
        <v>0.94(0.9-0.98)</v>
      </c>
      <c r="G141">
        <f t="shared" si="31"/>
        <v>4.0000000000000001E-3</v>
      </c>
      <c r="J141" t="s">
        <v>18</v>
      </c>
      <c r="K141">
        <v>0.94483379999999995</v>
      </c>
      <c r="L141">
        <v>0.90436039999999995</v>
      </c>
      <c r="M141">
        <v>0.98711850000000001</v>
      </c>
      <c r="N141" s="1">
        <v>1.107317E-2</v>
      </c>
      <c r="O141" t="str">
        <f t="shared" si="32"/>
        <v>0.94(0.9-0.99)</v>
      </c>
      <c r="P141">
        <f t="shared" si="33"/>
        <v>1.0999999999999999E-2</v>
      </c>
      <c r="S141" t="s">
        <v>18</v>
      </c>
      <c r="T141">
        <v>0.96270770000000006</v>
      </c>
      <c r="U141">
        <v>0.91814450000000003</v>
      </c>
      <c r="V141">
        <v>1.0094338</v>
      </c>
      <c r="W141" s="1">
        <v>0.11602030000000001</v>
      </c>
      <c r="X141" t="str">
        <f t="shared" si="34"/>
        <v>0.96(0.92-1.01)</v>
      </c>
      <c r="Y141">
        <f t="shared" si="35"/>
        <v>0.11600000000000001</v>
      </c>
    </row>
    <row r="142" spans="1:25" x14ac:dyDescent="0.3">
      <c r="A142" t="s">
        <v>19</v>
      </c>
      <c r="B142">
        <v>1.2068268</v>
      </c>
      <c r="C142">
        <v>1.1603325</v>
      </c>
      <c r="D142">
        <v>1.2551843</v>
      </c>
      <c r="E142" s="1">
        <v>6.690587E-21</v>
      </c>
      <c r="F142" t="str">
        <f t="shared" si="30"/>
        <v>1.21(1.16-1.26)</v>
      </c>
      <c r="G142" t="str">
        <f t="shared" si="31"/>
        <v>&lt;0.001</v>
      </c>
      <c r="J142" t="s">
        <v>19</v>
      </c>
      <c r="K142">
        <v>1.1962762</v>
      </c>
      <c r="L142">
        <v>1.1483945</v>
      </c>
      <c r="M142">
        <v>1.2461542000000001</v>
      </c>
      <c r="N142" s="1">
        <v>8.0506019999999999E-18</v>
      </c>
      <c r="O142" t="str">
        <f t="shared" si="32"/>
        <v>1.2(1.15-1.25)</v>
      </c>
      <c r="P142" t="str">
        <f t="shared" si="33"/>
        <v>&lt;0.001</v>
      </c>
      <c r="S142" t="s">
        <v>21</v>
      </c>
      <c r="T142">
        <v>1.4751628000000001</v>
      </c>
      <c r="U142">
        <v>1.3993378999999999</v>
      </c>
      <c r="V142">
        <v>1.5550964</v>
      </c>
      <c r="W142" s="1">
        <v>0</v>
      </c>
      <c r="X142" t="str">
        <f t="shared" si="34"/>
        <v>1.48(1.4-1.56)</v>
      </c>
      <c r="Y142" t="str">
        <f t="shared" si="35"/>
        <v>&lt;0.001</v>
      </c>
    </row>
    <row r="143" spans="1:25" x14ac:dyDescent="0.3">
      <c r="A143" t="s">
        <v>20</v>
      </c>
      <c r="B143">
        <v>1.5531535000000001</v>
      </c>
      <c r="C143">
        <v>1.4687680000000001</v>
      </c>
      <c r="D143">
        <v>1.6423873</v>
      </c>
      <c r="E143" s="1">
        <v>7.849717E-54</v>
      </c>
      <c r="F143" t="str">
        <f t="shared" si="30"/>
        <v>1.55(1.47-1.64)</v>
      </c>
      <c r="G143" t="str">
        <f t="shared" si="31"/>
        <v>&lt;0.001</v>
      </c>
      <c r="J143" t="s">
        <v>20</v>
      </c>
      <c r="K143">
        <v>1.5021207000000001</v>
      </c>
      <c r="L143">
        <v>1.4164131</v>
      </c>
      <c r="M143">
        <v>1.5930143999999999</v>
      </c>
      <c r="N143" s="1">
        <v>5.7237430000000003E-42</v>
      </c>
      <c r="O143" t="str">
        <f t="shared" si="32"/>
        <v>1.5(1.42-1.59)</v>
      </c>
      <c r="P143" t="str">
        <f t="shared" si="33"/>
        <v>&lt;0.001</v>
      </c>
      <c r="S143" t="s">
        <v>19</v>
      </c>
      <c r="T143">
        <v>1.1691704999999999</v>
      </c>
      <c r="U143">
        <v>1.1228264999999999</v>
      </c>
      <c r="V143">
        <v>1.2174274</v>
      </c>
      <c r="W143" s="1">
        <v>3.619327E-14</v>
      </c>
      <c r="X143" t="str">
        <f t="shared" si="34"/>
        <v>1.17(1.12-1.22)</v>
      </c>
      <c r="Y143" t="str">
        <f t="shared" si="35"/>
        <v>&lt;0.001</v>
      </c>
    </row>
    <row r="144" spans="1:25" x14ac:dyDescent="0.3">
      <c r="A144" t="s">
        <v>21</v>
      </c>
      <c r="B144">
        <v>1.6489130999999999</v>
      </c>
      <c r="C144">
        <v>1.5723942</v>
      </c>
      <c r="D144">
        <v>1.7291558</v>
      </c>
      <c r="E144" s="1">
        <v>1.518632E-94</v>
      </c>
      <c r="F144" t="str">
        <f t="shared" si="30"/>
        <v>1.65(1.57-1.73)</v>
      </c>
      <c r="G144" t="str">
        <f t="shared" si="31"/>
        <v>&lt;0.001</v>
      </c>
      <c r="J144" t="s">
        <v>21</v>
      </c>
      <c r="K144">
        <v>1.5857561</v>
      </c>
      <c r="L144">
        <v>1.5093143</v>
      </c>
      <c r="M144">
        <v>1.6660694</v>
      </c>
      <c r="N144" s="1">
        <v>9.8317710000000007E-75</v>
      </c>
      <c r="O144" t="str">
        <f t="shared" si="32"/>
        <v>1.59(1.51-1.67)</v>
      </c>
      <c r="P144" t="str">
        <f t="shared" si="33"/>
        <v>&lt;0.001</v>
      </c>
      <c r="S144" t="s">
        <v>20</v>
      </c>
      <c r="T144">
        <v>1.4048191000000001</v>
      </c>
      <c r="U144">
        <v>1.3180774</v>
      </c>
      <c r="V144">
        <v>1.4972692000000001</v>
      </c>
      <c r="W144" s="1">
        <v>0</v>
      </c>
      <c r="X144" t="str">
        <f t="shared" si="34"/>
        <v>1.4(1.32-1.5)</v>
      </c>
      <c r="Y144" t="str">
        <f t="shared" si="35"/>
        <v>&lt;0.001</v>
      </c>
    </row>
    <row r="145" spans="1:25" x14ac:dyDescent="0.3">
      <c r="A145" t="s">
        <v>22</v>
      </c>
      <c r="B145">
        <v>0.84621690000000005</v>
      </c>
      <c r="C145">
        <v>0.81604699999999997</v>
      </c>
      <c r="D145">
        <v>0.87750229999999996</v>
      </c>
      <c r="E145" s="1">
        <v>1.971321E-19</v>
      </c>
      <c r="F145" t="str">
        <f t="shared" si="30"/>
        <v>0.85(0.82-0.88)</v>
      </c>
      <c r="G145" t="str">
        <f t="shared" si="31"/>
        <v>&lt;0.001</v>
      </c>
      <c r="J145" t="s">
        <v>22</v>
      </c>
      <c r="K145">
        <v>0.84901859999999996</v>
      </c>
      <c r="L145">
        <v>0.81744340000000004</v>
      </c>
      <c r="M145">
        <v>0.88181350000000003</v>
      </c>
      <c r="N145" s="1">
        <v>2.575099E-17</v>
      </c>
      <c r="O145" t="str">
        <f t="shared" si="32"/>
        <v>0.85(0.82-0.88)</v>
      </c>
      <c r="P145" t="str">
        <f t="shared" si="33"/>
        <v>&lt;0.001</v>
      </c>
      <c r="S145" t="s">
        <v>22</v>
      </c>
      <c r="T145">
        <v>0.86842629999999998</v>
      </c>
      <c r="U145">
        <v>0.83509330000000004</v>
      </c>
      <c r="V145">
        <v>0.90308980000000005</v>
      </c>
      <c r="W145" s="1">
        <v>1.6111560000000001E-12</v>
      </c>
      <c r="X145" t="str">
        <f t="shared" si="34"/>
        <v>0.87(0.84-0.9)</v>
      </c>
      <c r="Y145" t="str">
        <f t="shared" si="35"/>
        <v>&lt;0.001</v>
      </c>
    </row>
    <row r="146" spans="1:25" x14ac:dyDescent="0.3">
      <c r="A146" t="s">
        <v>23</v>
      </c>
      <c r="B146">
        <v>0.62679390000000001</v>
      </c>
      <c r="C146">
        <v>0.59496559999999998</v>
      </c>
      <c r="D146">
        <v>0.66032489999999999</v>
      </c>
      <c r="E146" s="1">
        <v>4.286271E-69</v>
      </c>
      <c r="F146" t="str">
        <f t="shared" si="30"/>
        <v>0.63(0.59-0.66)</v>
      </c>
      <c r="G146" t="str">
        <f t="shared" si="31"/>
        <v>&lt;0.001</v>
      </c>
      <c r="J146" t="s">
        <v>23</v>
      </c>
      <c r="K146">
        <v>0.61345700000000003</v>
      </c>
      <c r="L146">
        <v>0.5816093</v>
      </c>
      <c r="M146">
        <v>0.64704870000000003</v>
      </c>
      <c r="N146" s="1">
        <v>3.6752559999999999E-72</v>
      </c>
      <c r="O146" t="str">
        <f t="shared" si="32"/>
        <v>0.61(0.58-0.65)</v>
      </c>
      <c r="P146" t="str">
        <f t="shared" si="33"/>
        <v>&lt;0.001</v>
      </c>
      <c r="S146" t="s">
        <v>23</v>
      </c>
      <c r="T146">
        <v>0.64700919999999995</v>
      </c>
      <c r="U146">
        <v>0.6072381</v>
      </c>
      <c r="V146">
        <v>0.68938509999999997</v>
      </c>
      <c r="W146" s="1">
        <v>0</v>
      </c>
      <c r="X146" t="str">
        <f t="shared" si="34"/>
        <v>0.65(0.61-0.69)</v>
      </c>
      <c r="Y146" t="str">
        <f t="shared" si="35"/>
        <v>&lt;0.001</v>
      </c>
    </row>
    <row r="147" spans="1:25" x14ac:dyDescent="0.3">
      <c r="A147" t="s">
        <v>24</v>
      </c>
      <c r="B147">
        <v>1.5954207</v>
      </c>
      <c r="C147">
        <v>1.5144061</v>
      </c>
      <c r="D147">
        <v>1.6807694</v>
      </c>
      <c r="E147" s="1">
        <v>4.286271E-69</v>
      </c>
      <c r="F147" t="str">
        <f t="shared" si="30"/>
        <v>1.6(1.51-1.68)</v>
      </c>
      <c r="G147" t="str">
        <f t="shared" si="31"/>
        <v>&lt;0.001</v>
      </c>
      <c r="J147" t="s">
        <v>24</v>
      </c>
      <c r="K147">
        <v>1.6301060000000001</v>
      </c>
      <c r="L147">
        <v>1.5454787999999999</v>
      </c>
      <c r="M147">
        <v>1.7193672</v>
      </c>
      <c r="N147" s="1">
        <v>3.6752559999999999E-72</v>
      </c>
      <c r="O147" t="str">
        <f t="shared" si="32"/>
        <v>1.63(1.55-1.72)</v>
      </c>
      <c r="P147" t="str">
        <f t="shared" si="33"/>
        <v>&lt;0.001</v>
      </c>
      <c r="S147" t="s">
        <v>24</v>
      </c>
      <c r="T147">
        <v>1.5455730000000001</v>
      </c>
      <c r="U147">
        <v>1.4505680000000001</v>
      </c>
      <c r="V147">
        <v>1.6468004000000001</v>
      </c>
      <c r="W147" s="1">
        <v>0</v>
      </c>
      <c r="X147" t="str">
        <f t="shared" si="34"/>
        <v>1.55(1.45-1.65)</v>
      </c>
      <c r="Y147" t="str">
        <f t="shared" si="35"/>
        <v>&lt;0.001</v>
      </c>
    </row>
    <row r="148" spans="1:25" x14ac:dyDescent="0.3">
      <c r="A148" t="s">
        <v>25</v>
      </c>
      <c r="B148">
        <v>2.5051502000000001</v>
      </c>
      <c r="C148">
        <v>2.3701960999999998</v>
      </c>
      <c r="D148">
        <v>2.6477883000000002</v>
      </c>
      <c r="E148" s="1">
        <v>9.423077E-232</v>
      </c>
      <c r="F148" t="str">
        <f t="shared" si="30"/>
        <v>2.51(2.37-2.65)</v>
      </c>
      <c r="G148" t="str">
        <f t="shared" si="31"/>
        <v>&lt;0.001</v>
      </c>
      <c r="J148" t="s">
        <v>25</v>
      </c>
      <c r="K148">
        <v>3.0090414999999999</v>
      </c>
      <c r="L148">
        <v>2.8271720999999999</v>
      </c>
      <c r="M148">
        <v>3.2026105</v>
      </c>
      <c r="N148" s="1">
        <v>8.2508530000000002E-263</v>
      </c>
      <c r="O148" t="str">
        <f t="shared" si="32"/>
        <v>3.01(2.83-3.2)</v>
      </c>
      <c r="P148" t="str">
        <f t="shared" si="33"/>
        <v>&lt;0.001</v>
      </c>
      <c r="S148" t="s">
        <v>25</v>
      </c>
      <c r="T148">
        <v>2.9204029</v>
      </c>
      <c r="U148">
        <v>2.7419259</v>
      </c>
      <c r="V148">
        <v>3.1104973999999999</v>
      </c>
      <c r="W148" s="1">
        <v>0</v>
      </c>
      <c r="X148" t="str">
        <f t="shared" si="34"/>
        <v>2.92(2.74-3.11)</v>
      </c>
      <c r="Y148" t="str">
        <f t="shared" si="35"/>
        <v>&lt;0.001</v>
      </c>
    </row>
    <row r="149" spans="1:25" x14ac:dyDescent="0.3">
      <c r="A149" t="s">
        <v>26</v>
      </c>
      <c r="B149">
        <v>5.2572770999999996</v>
      </c>
      <c r="C149">
        <v>4.9656941999999997</v>
      </c>
      <c r="D149">
        <v>5.5659815000000004</v>
      </c>
      <c r="E149" s="1">
        <v>0</v>
      </c>
      <c r="F149" t="str">
        <f t="shared" si="30"/>
        <v>5.26(4.97-5.57)</v>
      </c>
      <c r="G149" t="str">
        <f t="shared" si="31"/>
        <v>&lt;0.001</v>
      </c>
      <c r="J149" t="s">
        <v>26</v>
      </c>
      <c r="K149">
        <v>6.5533770999999996</v>
      </c>
      <c r="L149">
        <v>6.1486355000000001</v>
      </c>
      <c r="M149">
        <v>6.9847612999999997</v>
      </c>
      <c r="N149" s="1">
        <v>0</v>
      </c>
      <c r="O149" t="str">
        <f t="shared" si="32"/>
        <v>6.55(6.15-6.98)</v>
      </c>
      <c r="P149" t="str">
        <f t="shared" si="33"/>
        <v>&lt;0.001</v>
      </c>
      <c r="S149" t="s">
        <v>26</v>
      </c>
      <c r="T149">
        <v>6.0751325999999999</v>
      </c>
      <c r="U149">
        <v>5.6669508999999998</v>
      </c>
      <c r="V149">
        <v>6.5127151000000003</v>
      </c>
      <c r="W149" s="1">
        <v>0</v>
      </c>
      <c r="X149" t="str">
        <f t="shared" si="34"/>
        <v>6.08(5.67-6.51)</v>
      </c>
      <c r="Y149" t="str">
        <f t="shared" si="35"/>
        <v>&lt;0.001</v>
      </c>
    </row>
    <row r="150" spans="1:25" x14ac:dyDescent="0.3">
      <c r="A150" t="s">
        <v>27</v>
      </c>
      <c r="B150">
        <v>2.2261077</v>
      </c>
      <c r="C150">
        <v>2.0643167999999998</v>
      </c>
      <c r="D150">
        <v>2.4005789000000002</v>
      </c>
      <c r="E150" s="1">
        <v>5.7047840000000002E-96</v>
      </c>
      <c r="F150" t="str">
        <f t="shared" si="30"/>
        <v>2.23(2.06-2.4)</v>
      </c>
      <c r="G150" t="str">
        <f t="shared" si="31"/>
        <v>&lt;0.001</v>
      </c>
      <c r="J150" t="s">
        <v>27</v>
      </c>
      <c r="K150">
        <v>2.5089632000000002</v>
      </c>
      <c r="L150">
        <v>2.3072688000000001</v>
      </c>
      <c r="M150">
        <v>2.7282891</v>
      </c>
      <c r="N150" s="1">
        <v>1.1727809999999999E-102</v>
      </c>
      <c r="O150" t="str">
        <f t="shared" si="32"/>
        <v>2.51(2.31-2.73)</v>
      </c>
      <c r="P150" t="str">
        <f t="shared" si="33"/>
        <v>&lt;0.001</v>
      </c>
      <c r="S150" t="s">
        <v>27</v>
      </c>
      <c r="T150">
        <v>2.4068092999999999</v>
      </c>
      <c r="U150">
        <v>2.2000351999999999</v>
      </c>
      <c r="V150">
        <v>2.6330173000000001</v>
      </c>
      <c r="W150" s="1">
        <v>0</v>
      </c>
      <c r="X150" t="str">
        <f t="shared" si="34"/>
        <v>2.41(2.2-2.63)</v>
      </c>
      <c r="Y150" t="str">
        <f t="shared" si="35"/>
        <v>&lt;0.001</v>
      </c>
    </row>
    <row r="151" spans="1:25" x14ac:dyDescent="0.3">
      <c r="A151" t="s">
        <v>28</v>
      </c>
      <c r="B151">
        <v>0.28086080000000002</v>
      </c>
      <c r="C151">
        <v>0.26848640000000001</v>
      </c>
      <c r="D151">
        <v>0.2938055</v>
      </c>
      <c r="E151" s="1">
        <v>0</v>
      </c>
      <c r="F151" t="str">
        <f t="shared" si="30"/>
        <v>0.28(0.27-0.29)</v>
      </c>
      <c r="G151" t="str">
        <f t="shared" si="31"/>
        <v>&lt;0.001</v>
      </c>
      <c r="J151" t="s">
        <v>28</v>
      </c>
      <c r="K151">
        <v>0.27048030000000001</v>
      </c>
      <c r="L151">
        <v>0.25769389999999998</v>
      </c>
      <c r="M151">
        <v>0.28390120000000002</v>
      </c>
      <c r="N151" s="1">
        <v>0</v>
      </c>
      <c r="O151" t="str">
        <f t="shared" si="32"/>
        <v>0.27(0.26-0.28)</v>
      </c>
      <c r="P151" t="str">
        <f t="shared" si="33"/>
        <v>&lt;0.001</v>
      </c>
      <c r="S151" t="s">
        <v>28</v>
      </c>
      <c r="T151">
        <v>0.29108000000000001</v>
      </c>
      <c r="U151">
        <v>0.27655730000000001</v>
      </c>
      <c r="V151">
        <v>0.30636540000000001</v>
      </c>
      <c r="W151" s="1">
        <v>0</v>
      </c>
      <c r="X151" t="str">
        <f t="shared" si="34"/>
        <v>0.29(0.28-0.31)</v>
      </c>
      <c r="Y151" t="str">
        <f t="shared" si="35"/>
        <v>&lt;0.001</v>
      </c>
    </row>
    <row r="152" spans="1:25" x14ac:dyDescent="0.3">
      <c r="A152" t="s">
        <v>29</v>
      </c>
      <c r="B152">
        <v>1.1076717</v>
      </c>
      <c r="C152">
        <v>1.0678892</v>
      </c>
      <c r="D152">
        <v>1.1489362000000001</v>
      </c>
      <c r="E152" s="1">
        <v>4.2607400000000001E-8</v>
      </c>
      <c r="F152" t="str">
        <f t="shared" si="30"/>
        <v>1.11(1.07-1.15)</v>
      </c>
      <c r="G152" t="str">
        <f t="shared" si="31"/>
        <v>&lt;0.001</v>
      </c>
      <c r="J152" t="s">
        <v>29</v>
      </c>
      <c r="K152">
        <v>1.1320726999999999</v>
      </c>
      <c r="L152">
        <v>1.0903620999999999</v>
      </c>
      <c r="M152">
        <v>1.1753788000000001</v>
      </c>
      <c r="N152" s="1">
        <v>9.3805389999999998E-11</v>
      </c>
      <c r="O152" t="str">
        <f t="shared" si="32"/>
        <v>1.13(1.09-1.18)</v>
      </c>
      <c r="P152" t="str">
        <f t="shared" si="33"/>
        <v>&lt;0.001</v>
      </c>
      <c r="S152" t="s">
        <v>29</v>
      </c>
      <c r="T152">
        <v>1.1544668</v>
      </c>
      <c r="U152">
        <v>1.1084495999999999</v>
      </c>
      <c r="V152">
        <v>1.2023944</v>
      </c>
      <c r="W152" s="1">
        <v>4.475975E-12</v>
      </c>
      <c r="X152" t="str">
        <f t="shared" si="34"/>
        <v>1.15(1.11-1.2)</v>
      </c>
      <c r="Y152" t="str">
        <f t="shared" si="35"/>
        <v>&lt;0.001</v>
      </c>
    </row>
    <row r="153" spans="1:25" x14ac:dyDescent="0.3">
      <c r="A153" t="s">
        <v>30</v>
      </c>
      <c r="B153">
        <v>0.73182449999999999</v>
      </c>
      <c r="C153">
        <v>0.70752190000000004</v>
      </c>
      <c r="D153">
        <v>0.75696180000000002</v>
      </c>
      <c r="E153" s="1">
        <v>2.2415019999999999E-73</v>
      </c>
      <c r="F153" t="str">
        <f t="shared" si="30"/>
        <v>0.73(0.71-0.76)</v>
      </c>
      <c r="G153" t="str">
        <f t="shared" si="31"/>
        <v>&lt;0.001</v>
      </c>
      <c r="J153" t="s">
        <v>30</v>
      </c>
      <c r="K153">
        <v>0.74943780000000004</v>
      </c>
      <c r="L153">
        <v>0.72364519999999999</v>
      </c>
      <c r="M153">
        <v>0.77614970000000005</v>
      </c>
      <c r="N153" s="1">
        <v>1.2990319999999999E-58</v>
      </c>
      <c r="O153" t="str">
        <f t="shared" si="32"/>
        <v>0.75(0.72-0.78)</v>
      </c>
      <c r="P153" t="str">
        <f t="shared" si="33"/>
        <v>&lt;0.001</v>
      </c>
      <c r="S153" t="s">
        <v>30</v>
      </c>
      <c r="T153">
        <v>0.81893150000000003</v>
      </c>
      <c r="U153">
        <v>0.78651970000000004</v>
      </c>
      <c r="V153">
        <v>0.85267899999999996</v>
      </c>
      <c r="W153" s="1">
        <v>0</v>
      </c>
      <c r="X153" t="str">
        <f t="shared" si="34"/>
        <v>0.82(0.79-0.85)</v>
      </c>
      <c r="Y153" t="str">
        <f t="shared" si="35"/>
        <v>&lt;0.001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opLeftCell="J49" workbookViewId="0">
      <selection activeCell="V41" sqref="V41"/>
    </sheetView>
  </sheetViews>
  <sheetFormatPr defaultRowHeight="16.5" x14ac:dyDescent="0.3"/>
  <cols>
    <col min="7" max="7" width="15" bestFit="1" customWidth="1"/>
    <col min="8" max="9" width="10.5" bestFit="1" customWidth="1"/>
    <col min="10" max="10" width="14" bestFit="1" customWidth="1"/>
    <col min="12" max="12" width="17.125" bestFit="1" customWidth="1"/>
    <col min="13" max="14" width="10.5" bestFit="1" customWidth="1"/>
    <col min="15" max="15" width="14" bestFit="1" customWidth="1"/>
    <col min="17" max="17" width="16.75" bestFit="1" customWidth="1"/>
    <col min="18" max="19" width="10.5" bestFit="1" customWidth="1"/>
    <col min="20" max="20" width="14" bestFit="1" customWidth="1"/>
  </cols>
  <sheetData>
    <row r="1" spans="1:3" x14ac:dyDescent="0.3">
      <c r="A1" s="4">
        <v>224977.4</v>
      </c>
      <c r="B1" s="4">
        <v>49196</v>
      </c>
      <c r="C1">
        <f>ROUND((B1/A1)*1000,1)</f>
        <v>218.7</v>
      </c>
    </row>
    <row r="2" spans="1:3" x14ac:dyDescent="0.3">
      <c r="A2" s="5">
        <v>77937.8</v>
      </c>
      <c r="B2" s="5">
        <v>23107</v>
      </c>
      <c r="C2">
        <f t="shared" ref="C2:C4" si="0">ROUND((B2/A2)*1000,1)</f>
        <v>296.5</v>
      </c>
    </row>
    <row r="3" spans="1:3" x14ac:dyDescent="0.3">
      <c r="A3" s="5">
        <v>34113.199999999997</v>
      </c>
      <c r="B3" s="5">
        <v>8519</v>
      </c>
      <c r="C3">
        <f t="shared" si="0"/>
        <v>249.7</v>
      </c>
    </row>
    <row r="4" spans="1:3" x14ac:dyDescent="0.3">
      <c r="A4" s="5">
        <v>112926.39999999999</v>
      </c>
      <c r="B4" s="5">
        <v>17570</v>
      </c>
      <c r="C4">
        <f t="shared" si="0"/>
        <v>155.6</v>
      </c>
    </row>
    <row r="5" spans="1:3" ht="17.25" thickBot="1" x14ac:dyDescent="0.35"/>
    <row r="6" spans="1:3" x14ac:dyDescent="0.3">
      <c r="A6" s="4">
        <v>224977.4</v>
      </c>
      <c r="B6" s="4">
        <v>45271</v>
      </c>
      <c r="C6">
        <f>ROUND((B6/A6)*1000,1)</f>
        <v>201.2</v>
      </c>
    </row>
    <row r="7" spans="1:3" x14ac:dyDescent="0.3">
      <c r="A7" s="5">
        <v>77937.8</v>
      </c>
      <c r="B7" s="5">
        <v>21290</v>
      </c>
      <c r="C7">
        <f t="shared" ref="C7:C9" si="1">ROUND((B7/A7)*1000,1)</f>
        <v>273.2</v>
      </c>
    </row>
    <row r="8" spans="1:3" x14ac:dyDescent="0.3">
      <c r="A8" s="5">
        <v>34113.199999999997</v>
      </c>
      <c r="B8" s="5">
        <v>7867</v>
      </c>
      <c r="C8">
        <f t="shared" si="1"/>
        <v>230.6</v>
      </c>
    </row>
    <row r="9" spans="1:3" x14ac:dyDescent="0.3">
      <c r="A9" s="5">
        <v>112926.39999999999</v>
      </c>
      <c r="B9" s="5">
        <v>16114</v>
      </c>
      <c r="C9">
        <f t="shared" si="1"/>
        <v>142.69999999999999</v>
      </c>
    </row>
    <row r="11" spans="1:3" ht="17.25" thickBot="1" x14ac:dyDescent="0.35"/>
    <row r="12" spans="1:3" x14ac:dyDescent="0.3">
      <c r="A12" s="4">
        <v>112051</v>
      </c>
      <c r="B12" s="4">
        <v>31626</v>
      </c>
      <c r="C12">
        <f t="shared" ref="C12:C18" si="2">ROUND((B12/A12)*1000,1)</f>
        <v>282.2</v>
      </c>
    </row>
    <row r="13" spans="1:3" x14ac:dyDescent="0.3">
      <c r="A13" s="5">
        <v>96765.6</v>
      </c>
      <c r="B13" s="5">
        <v>28458</v>
      </c>
      <c r="C13">
        <f t="shared" si="2"/>
        <v>294.10000000000002</v>
      </c>
    </row>
    <row r="14" spans="1:3" x14ac:dyDescent="0.3">
      <c r="A14" s="5">
        <v>15285.4</v>
      </c>
      <c r="B14" s="5">
        <v>3168</v>
      </c>
      <c r="C14">
        <f t="shared" si="2"/>
        <v>207.3</v>
      </c>
    </row>
    <row r="15" spans="1:3" ht="17.25" thickBot="1" x14ac:dyDescent="0.35"/>
    <row r="16" spans="1:3" x14ac:dyDescent="0.3">
      <c r="A16" s="4">
        <v>112051</v>
      </c>
      <c r="B16" s="4">
        <v>29157</v>
      </c>
      <c r="C16">
        <f t="shared" si="2"/>
        <v>260.2</v>
      </c>
    </row>
    <row r="17" spans="1:3" x14ac:dyDescent="0.3">
      <c r="A17" s="5">
        <v>96765.6</v>
      </c>
      <c r="B17" s="5">
        <v>26225</v>
      </c>
      <c r="C17">
        <f t="shared" si="2"/>
        <v>271</v>
      </c>
    </row>
    <row r="18" spans="1:3" x14ac:dyDescent="0.3">
      <c r="A18" s="5">
        <v>15285.4</v>
      </c>
      <c r="B18" s="5">
        <v>2932</v>
      </c>
      <c r="C18">
        <f t="shared" si="2"/>
        <v>191.8</v>
      </c>
    </row>
    <row r="20" spans="1:3" ht="17.25" thickBot="1" x14ac:dyDescent="0.35"/>
    <row r="21" spans="1:3" x14ac:dyDescent="0.3">
      <c r="A21" s="4">
        <v>80515.199999999997</v>
      </c>
      <c r="B21" s="4">
        <v>23481</v>
      </c>
      <c r="C21">
        <f t="shared" ref="C21:C31" si="3">ROUND((B21/A21)*1000,1)</f>
        <v>291.60000000000002</v>
      </c>
    </row>
    <row r="22" spans="1:3" x14ac:dyDescent="0.3">
      <c r="A22" s="5">
        <v>77937.8</v>
      </c>
      <c r="B22" s="5">
        <v>23107</v>
      </c>
      <c r="C22">
        <f t="shared" si="3"/>
        <v>296.5</v>
      </c>
    </row>
    <row r="23" spans="1:3" x14ac:dyDescent="0.3">
      <c r="A23" s="5">
        <v>2577.4</v>
      </c>
      <c r="B23" s="5">
        <v>374</v>
      </c>
      <c r="C23">
        <f t="shared" si="3"/>
        <v>145.1</v>
      </c>
    </row>
    <row r="24" spans="1:3" ht="17.25" thickBot="1" x14ac:dyDescent="0.35"/>
    <row r="25" spans="1:3" x14ac:dyDescent="0.3">
      <c r="A25" s="4">
        <v>80515.199999999997</v>
      </c>
      <c r="B25" s="4">
        <v>21640</v>
      </c>
      <c r="C25">
        <f t="shared" si="3"/>
        <v>268.8</v>
      </c>
    </row>
    <row r="26" spans="1:3" x14ac:dyDescent="0.3">
      <c r="A26" s="5">
        <v>77937.8</v>
      </c>
      <c r="B26" s="5">
        <v>21290</v>
      </c>
      <c r="C26">
        <f t="shared" si="3"/>
        <v>273.2</v>
      </c>
    </row>
    <row r="27" spans="1:3" x14ac:dyDescent="0.3">
      <c r="A27" s="5">
        <v>2577.4</v>
      </c>
      <c r="B27" s="5">
        <v>350</v>
      </c>
      <c r="C27">
        <f t="shared" si="3"/>
        <v>135.80000000000001</v>
      </c>
    </row>
    <row r="28" spans="1:3" ht="17.25" thickBot="1" x14ac:dyDescent="0.35"/>
    <row r="29" spans="1:3" x14ac:dyDescent="0.3">
      <c r="A29" s="4">
        <v>37830.1</v>
      </c>
      <c r="B29" s="4">
        <v>8933</v>
      </c>
      <c r="C29">
        <f t="shared" si="3"/>
        <v>236.1</v>
      </c>
    </row>
    <row r="30" spans="1:3" x14ac:dyDescent="0.3">
      <c r="A30" s="5">
        <v>34113.199999999997</v>
      </c>
      <c r="B30" s="5">
        <v>8519</v>
      </c>
      <c r="C30">
        <f t="shared" si="3"/>
        <v>249.7</v>
      </c>
    </row>
    <row r="31" spans="1:3" x14ac:dyDescent="0.3">
      <c r="A31" s="5">
        <v>3716.9</v>
      </c>
      <c r="B31" s="5">
        <v>414</v>
      </c>
      <c r="C31">
        <f t="shared" si="3"/>
        <v>111.4</v>
      </c>
    </row>
    <row r="33" spans="1:20" ht="17.25" thickBot="1" x14ac:dyDescent="0.35"/>
    <row r="34" spans="1:20" x14ac:dyDescent="0.3">
      <c r="A34" s="4">
        <v>37830.1</v>
      </c>
      <c r="B34" s="4">
        <v>8258</v>
      </c>
      <c r="C34">
        <f t="shared" ref="C34:C36" si="4">ROUND((B34/A34)*1000,1)</f>
        <v>218.3</v>
      </c>
      <c r="G34" t="s">
        <v>810</v>
      </c>
      <c r="L34" t="s">
        <v>811</v>
      </c>
      <c r="Q34" t="s">
        <v>812</v>
      </c>
    </row>
    <row r="35" spans="1:20" x14ac:dyDescent="0.3">
      <c r="A35" s="5">
        <v>34113.199999999997</v>
      </c>
      <c r="B35" s="5">
        <v>7867</v>
      </c>
      <c r="C35">
        <f t="shared" si="4"/>
        <v>230.6</v>
      </c>
      <c r="G35">
        <v>1</v>
      </c>
      <c r="H35">
        <v>1</v>
      </c>
      <c r="I35">
        <v>1</v>
      </c>
      <c r="J35" t="str">
        <f>ROUND(G35,2)&amp;"("&amp;ROUND(H35,2)&amp;"-"&amp;ROUND(I35,2)&amp;")"</f>
        <v>1(1-1)</v>
      </c>
      <c r="L35">
        <v>1</v>
      </c>
      <c r="M35">
        <v>1</v>
      </c>
      <c r="N35">
        <v>1</v>
      </c>
      <c r="O35" t="str">
        <f>ROUND(L35,2)&amp;"("&amp;ROUND(M35,2)&amp;"-"&amp;ROUND(N35,2)&amp;")"</f>
        <v>1(1-1)</v>
      </c>
      <c r="Q35">
        <v>1</v>
      </c>
      <c r="R35">
        <v>1</v>
      </c>
      <c r="S35">
        <v>1</v>
      </c>
      <c r="T35" t="str">
        <f t="shared" ref="T35:T45" si="5">ROUND(Q35,2)&amp;"("&amp;ROUND(R35,2)&amp;"-"&amp;ROUND(S35,2)&amp;")"</f>
        <v>1(1-1)</v>
      </c>
    </row>
    <row r="36" spans="1:20" x14ac:dyDescent="0.3">
      <c r="A36" s="5">
        <v>3716.9</v>
      </c>
      <c r="B36" s="5">
        <v>391</v>
      </c>
      <c r="C36">
        <f t="shared" si="4"/>
        <v>105.2</v>
      </c>
      <c r="G36">
        <v>0.95216639999999997</v>
      </c>
      <c r="H36">
        <v>0.9286645</v>
      </c>
      <c r="I36">
        <v>0.97626299999999999</v>
      </c>
      <c r="J36" t="str">
        <f>ROUND(G36,2)&amp;"("&amp;ROUND(H36,2)&amp;"-"&amp;ROUND(I36,2)&amp;")"</f>
        <v>0.95(0.93-0.98)</v>
      </c>
      <c r="L36">
        <v>0.95505370000000001</v>
      </c>
      <c r="M36">
        <v>0.93052409999999997</v>
      </c>
      <c r="N36">
        <v>0.98022989999999999</v>
      </c>
      <c r="O36" t="str">
        <f t="shared" ref="O36:O45" si="6">ROUND(L36,2)&amp;"("&amp;ROUND(M36,2)&amp;"-"&amp;ROUND(N36,2)&amp;")"</f>
        <v>0.96(0.93-0.98)</v>
      </c>
      <c r="Q36">
        <v>0.95908879999999996</v>
      </c>
      <c r="R36">
        <v>0.93207759999999995</v>
      </c>
      <c r="S36">
        <v>0.9868827</v>
      </c>
      <c r="T36" t="str">
        <f t="shared" si="5"/>
        <v>0.96(0.93-0.99)</v>
      </c>
    </row>
    <row r="37" spans="1:20" x14ac:dyDescent="0.3">
      <c r="G37">
        <v>0.85833559999999998</v>
      </c>
      <c r="H37">
        <v>0.83737240000000002</v>
      </c>
      <c r="I37">
        <v>0.87982369999999999</v>
      </c>
      <c r="J37" t="str">
        <f>ROUND(G37,2)&amp;"("&amp;ROUND(H37,2)&amp;"-"&amp;ROUND(I37,2)&amp;")"</f>
        <v>0.86(0.84-0.88)</v>
      </c>
      <c r="L37">
        <v>0.85446279999999997</v>
      </c>
      <c r="M37">
        <v>0.83263500000000001</v>
      </c>
      <c r="N37">
        <v>0.87686280000000005</v>
      </c>
      <c r="O37" t="str">
        <f t="shared" si="6"/>
        <v>0.85(0.83-0.88)</v>
      </c>
      <c r="Q37">
        <v>0.85912770000000005</v>
      </c>
      <c r="R37">
        <v>0.83503150000000004</v>
      </c>
      <c r="S37">
        <v>0.88391929999999996</v>
      </c>
      <c r="T37" t="str">
        <f t="shared" si="5"/>
        <v>0.86(0.84-0.88)</v>
      </c>
    </row>
    <row r="38" spans="1:20" ht="17.25" thickBot="1" x14ac:dyDescent="0.35"/>
    <row r="39" spans="1:20" x14ac:dyDescent="0.3">
      <c r="A39" s="4">
        <v>121455.4</v>
      </c>
      <c r="B39" s="4">
        <v>18281</v>
      </c>
      <c r="C39">
        <f t="shared" ref="C39:C41" si="7">ROUND((B39/A39)*1000,1)</f>
        <v>150.5</v>
      </c>
      <c r="G39">
        <v>1.0502366000000001</v>
      </c>
      <c r="H39">
        <v>1.0243141</v>
      </c>
      <c r="I39">
        <v>1.0768152</v>
      </c>
      <c r="J39" t="str">
        <f>ROUND(G39,2)&amp;"("&amp;ROUND(H39,2)&amp;"-"&amp;ROUND(I39,2)&amp;")"</f>
        <v>1.05(1.02-1.08)</v>
      </c>
      <c r="L39">
        <v>1.0470615000000001</v>
      </c>
      <c r="M39">
        <v>1.0201688</v>
      </c>
      <c r="N39">
        <v>1.0746631</v>
      </c>
      <c r="O39" t="str">
        <f t="shared" si="6"/>
        <v>1.05(1.02-1.07)</v>
      </c>
      <c r="Q39">
        <v>1.0426563</v>
      </c>
      <c r="R39">
        <v>1.0132916000000001</v>
      </c>
      <c r="S39">
        <v>1.072872</v>
      </c>
      <c r="T39" t="str">
        <f t="shared" si="5"/>
        <v>1.04(1.01-1.07)</v>
      </c>
    </row>
    <row r="40" spans="1:20" x14ac:dyDescent="0.3">
      <c r="A40" s="5">
        <v>112926.39999999999</v>
      </c>
      <c r="B40" s="5">
        <v>17570</v>
      </c>
      <c r="C40">
        <f t="shared" si="7"/>
        <v>155.6</v>
      </c>
      <c r="G40">
        <v>1</v>
      </c>
      <c r="H40">
        <v>1</v>
      </c>
      <c r="I40">
        <v>1</v>
      </c>
      <c r="J40" t="str">
        <f t="shared" ref="J40:J45" si="8">ROUND(G40,2)&amp;"("&amp;ROUND(H40,2)&amp;"-"&amp;ROUND(I40,2)&amp;")"</f>
        <v>1(1-1)</v>
      </c>
      <c r="L40">
        <v>1</v>
      </c>
      <c r="M40">
        <v>1</v>
      </c>
      <c r="N40">
        <v>1</v>
      </c>
      <c r="O40" t="str">
        <f t="shared" si="6"/>
        <v>1(1-1)</v>
      </c>
      <c r="Q40">
        <v>1</v>
      </c>
      <c r="R40">
        <v>1</v>
      </c>
      <c r="S40">
        <v>1</v>
      </c>
      <c r="T40" t="str">
        <f t="shared" si="5"/>
        <v>1(1-1)</v>
      </c>
    </row>
    <row r="41" spans="1:20" x14ac:dyDescent="0.3">
      <c r="A41" s="5">
        <v>8529</v>
      </c>
      <c r="B41" s="5">
        <v>711</v>
      </c>
      <c r="C41">
        <f t="shared" si="7"/>
        <v>83.4</v>
      </c>
      <c r="G41">
        <v>0.90145549999999997</v>
      </c>
      <c r="H41">
        <v>0.87551520000000005</v>
      </c>
      <c r="I41">
        <v>0.92816449999999995</v>
      </c>
      <c r="J41" t="str">
        <f t="shared" si="8"/>
        <v>0.9(0.88-0.93)</v>
      </c>
      <c r="L41">
        <v>0.89467509999999995</v>
      </c>
      <c r="M41">
        <v>0.86782190000000003</v>
      </c>
      <c r="N41">
        <v>0.92235920000000005</v>
      </c>
      <c r="O41" t="str">
        <f t="shared" si="6"/>
        <v>0.89(0.87-0.92)</v>
      </c>
      <c r="Q41">
        <v>0.89577499999999999</v>
      </c>
      <c r="R41">
        <v>0.86644290000000002</v>
      </c>
      <c r="S41">
        <v>0.92610009999999998</v>
      </c>
      <c r="T41" t="str">
        <f t="shared" si="5"/>
        <v>0.9(0.87-0.93)</v>
      </c>
    </row>
    <row r="43" spans="1:20" ht="17.25" thickBot="1" x14ac:dyDescent="0.35">
      <c r="G43">
        <v>1.1650453999999999</v>
      </c>
      <c r="H43">
        <v>1.1365913999999999</v>
      </c>
      <c r="I43">
        <v>1.1942117999999999</v>
      </c>
      <c r="J43" t="str">
        <f t="shared" si="8"/>
        <v>1.17(1.14-1.19)</v>
      </c>
      <c r="L43">
        <v>1.170326</v>
      </c>
      <c r="M43">
        <v>1.1404293000000001</v>
      </c>
      <c r="N43">
        <v>1.2010064</v>
      </c>
      <c r="O43" t="str">
        <f t="shared" si="6"/>
        <v>1.17(1.14-1.2)</v>
      </c>
      <c r="Q43">
        <v>1.1639713</v>
      </c>
      <c r="R43">
        <v>1.1313249999999999</v>
      </c>
      <c r="S43">
        <v>1.1975595999999999</v>
      </c>
      <c r="T43" t="str">
        <f t="shared" si="5"/>
        <v>1.16(1.13-1.2)</v>
      </c>
    </row>
    <row r="44" spans="1:20" x14ac:dyDescent="0.3">
      <c r="A44" s="4">
        <v>121455.4</v>
      </c>
      <c r="B44" s="4">
        <v>16776</v>
      </c>
      <c r="C44">
        <f t="shared" ref="C44:C46" si="9">ROUND((B44/A44)*1000,1)</f>
        <v>138.1</v>
      </c>
      <c r="G44">
        <v>1.1093170999999999</v>
      </c>
      <c r="H44">
        <v>1.0773952</v>
      </c>
      <c r="I44">
        <v>1.1421847000000001</v>
      </c>
      <c r="J44" t="str">
        <f t="shared" si="8"/>
        <v>1.11(1.08-1.14)</v>
      </c>
      <c r="L44">
        <v>1.1177242000000001</v>
      </c>
      <c r="M44">
        <v>1.0841763</v>
      </c>
      <c r="N44">
        <v>1.1523101</v>
      </c>
      <c r="O44" t="str">
        <f t="shared" si="6"/>
        <v>1.12(1.08-1.15)</v>
      </c>
      <c r="Q44">
        <v>1.1163517999999999</v>
      </c>
      <c r="R44">
        <v>1.0797969000000001</v>
      </c>
      <c r="S44">
        <v>1.1541442</v>
      </c>
      <c r="T44" t="str">
        <f t="shared" si="5"/>
        <v>1.12(1.08-1.15)</v>
      </c>
    </row>
    <row r="45" spans="1:20" x14ac:dyDescent="0.3">
      <c r="A45" s="5">
        <v>112926.39999999999</v>
      </c>
      <c r="B45" s="5">
        <v>16114</v>
      </c>
      <c r="C45">
        <f t="shared" si="9"/>
        <v>142.69999999999999</v>
      </c>
      <c r="G45">
        <v>1</v>
      </c>
      <c r="H45">
        <v>1</v>
      </c>
      <c r="I45">
        <v>1</v>
      </c>
      <c r="J45" t="str">
        <f t="shared" si="8"/>
        <v>1(1-1)</v>
      </c>
      <c r="L45">
        <v>1</v>
      </c>
      <c r="M45">
        <v>1</v>
      </c>
      <c r="N45">
        <v>1</v>
      </c>
      <c r="O45" t="str">
        <f t="shared" si="6"/>
        <v>1(1-1)</v>
      </c>
      <c r="Q45">
        <v>1</v>
      </c>
      <c r="R45">
        <v>1</v>
      </c>
      <c r="S45">
        <v>1</v>
      </c>
      <c r="T45" t="str">
        <f t="shared" si="5"/>
        <v>1(1-1)</v>
      </c>
    </row>
    <row r="46" spans="1:20" x14ac:dyDescent="0.3">
      <c r="A46" s="5">
        <v>8529</v>
      </c>
      <c r="B46" s="5">
        <v>662</v>
      </c>
      <c r="C46">
        <f t="shared" si="9"/>
        <v>77.599999999999994</v>
      </c>
    </row>
    <row r="48" spans="1:20" x14ac:dyDescent="0.3">
      <c r="G48" t="s">
        <v>813</v>
      </c>
      <c r="L48" t="s">
        <v>814</v>
      </c>
      <c r="Q48" t="s">
        <v>815</v>
      </c>
    </row>
    <row r="49" spans="7:20" x14ac:dyDescent="0.3">
      <c r="G49">
        <v>1</v>
      </c>
      <c r="H49">
        <v>1</v>
      </c>
      <c r="I49">
        <v>1</v>
      </c>
      <c r="J49" t="str">
        <f t="shared" ref="J49:J56" si="10">ROUND(G49,2)&amp;"("&amp;ROUND(H49,2)&amp;"-"&amp;ROUND(I49,2)&amp;")"</f>
        <v>1(1-1)</v>
      </c>
      <c r="L49">
        <v>1</v>
      </c>
      <c r="M49">
        <v>1</v>
      </c>
      <c r="N49">
        <v>1</v>
      </c>
      <c r="O49" t="str">
        <f t="shared" ref="O49:O50" si="11">ROUND(L49,2)&amp;"("&amp;ROUND(M49,2)&amp;"-"&amp;ROUND(N49,2)&amp;")"</f>
        <v>1(1-1)</v>
      </c>
      <c r="Q49">
        <v>1</v>
      </c>
      <c r="R49">
        <v>1</v>
      </c>
      <c r="S49">
        <v>1</v>
      </c>
      <c r="T49" t="str">
        <f t="shared" ref="T49:T50" si="12">ROUND(Q49,2)&amp;"("&amp;ROUND(R49,2)&amp;"-"&amp;ROUND(S49,2)&amp;")"</f>
        <v>1(1-1)</v>
      </c>
    </row>
    <row r="50" spans="7:20" x14ac:dyDescent="0.3">
      <c r="G50">
        <v>0.55818199999999996</v>
      </c>
      <c r="H50">
        <v>0.50357010000000002</v>
      </c>
      <c r="I50">
        <v>0.61871659999999995</v>
      </c>
      <c r="J50" t="str">
        <f t="shared" si="10"/>
        <v>0.56(0.5-0.62)</v>
      </c>
      <c r="L50">
        <v>0.56550069999999997</v>
      </c>
      <c r="M50">
        <v>0.50839469999999998</v>
      </c>
      <c r="N50">
        <v>0.62902139999999995</v>
      </c>
      <c r="O50" t="str">
        <f t="shared" si="11"/>
        <v>0.57(0.51-0.63)</v>
      </c>
      <c r="Q50">
        <v>0.58954229999999996</v>
      </c>
      <c r="R50">
        <v>0.53344860000000005</v>
      </c>
      <c r="S50">
        <v>0.65153430000000001</v>
      </c>
      <c r="T50" t="str">
        <f t="shared" si="12"/>
        <v>0.59(0.53-0.65)</v>
      </c>
    </row>
    <row r="52" spans="7:20" x14ac:dyDescent="0.3">
      <c r="G52">
        <v>1</v>
      </c>
      <c r="H52">
        <v>1</v>
      </c>
      <c r="I52">
        <v>1</v>
      </c>
      <c r="J52" t="str">
        <f t="shared" si="10"/>
        <v>1(1-1)</v>
      </c>
      <c r="L52">
        <v>1</v>
      </c>
      <c r="M52">
        <v>1</v>
      </c>
      <c r="N52">
        <v>1</v>
      </c>
      <c r="O52" t="str">
        <f t="shared" ref="O52:O53" si="13">ROUND(L52,2)&amp;"("&amp;ROUND(M52,2)&amp;"-"&amp;ROUND(N52,2)&amp;")"</f>
        <v>1(1-1)</v>
      </c>
      <c r="Q52">
        <v>1</v>
      </c>
      <c r="R52">
        <v>1</v>
      </c>
      <c r="S52">
        <v>1</v>
      </c>
      <c r="T52" t="str">
        <f t="shared" ref="T52:T53" si="14">ROUND(Q52,2)&amp;"("&amp;ROUND(R52,2)&amp;"-"&amp;ROUND(S52,2)&amp;")"</f>
        <v>1(1-1)</v>
      </c>
    </row>
    <row r="53" spans="7:20" x14ac:dyDescent="0.3">
      <c r="G53">
        <v>0.53506520000000002</v>
      </c>
      <c r="H53">
        <v>0.48410180000000003</v>
      </c>
      <c r="I53">
        <v>0.59139370000000002</v>
      </c>
      <c r="J53" t="str">
        <f t="shared" si="10"/>
        <v>0.54(0.48-0.59)</v>
      </c>
      <c r="L53">
        <v>0.54828169999999998</v>
      </c>
      <c r="M53">
        <v>0.49458089999999999</v>
      </c>
      <c r="N53">
        <v>0.6078133</v>
      </c>
      <c r="O53" t="str">
        <f t="shared" si="13"/>
        <v>0.55(0.49-0.61)</v>
      </c>
      <c r="Q53">
        <v>0.57093780000000005</v>
      </c>
      <c r="R53">
        <v>0.51855019999999996</v>
      </c>
      <c r="S53">
        <v>0.62861789999999995</v>
      </c>
      <c r="T53" t="str">
        <f t="shared" si="14"/>
        <v>0.57(0.52-0.63)</v>
      </c>
    </row>
    <row r="55" spans="7:20" x14ac:dyDescent="0.3">
      <c r="G55">
        <v>1</v>
      </c>
      <c r="H55">
        <v>1</v>
      </c>
      <c r="I55">
        <v>1</v>
      </c>
      <c r="J55" t="str">
        <f t="shared" si="10"/>
        <v>1(1-1)</v>
      </c>
      <c r="L55">
        <v>1</v>
      </c>
      <c r="M55">
        <v>1</v>
      </c>
      <c r="N55">
        <v>1</v>
      </c>
      <c r="O55" t="str">
        <f t="shared" ref="O55:O56" si="15">ROUND(L55,2)&amp;"("&amp;ROUND(M55,2)&amp;"-"&amp;ROUND(N55,2)&amp;")"</f>
        <v>1(1-1)</v>
      </c>
      <c r="Q55">
        <v>1</v>
      </c>
      <c r="R55">
        <v>1</v>
      </c>
      <c r="S55">
        <v>1</v>
      </c>
      <c r="T55" t="str">
        <f t="shared" ref="T55:T56" si="16">ROUND(Q55,2)&amp;"("&amp;ROUND(R55,2)&amp;"-"&amp;ROUND(S55,2)&amp;")"</f>
        <v>1(1-1)</v>
      </c>
    </row>
    <row r="56" spans="7:20" x14ac:dyDescent="0.3">
      <c r="G56">
        <v>0.65560890000000005</v>
      </c>
      <c r="H56">
        <v>0.60786099999999998</v>
      </c>
      <c r="I56">
        <v>0.70710740000000005</v>
      </c>
      <c r="J56" t="str">
        <f t="shared" si="10"/>
        <v>0.66(0.61-0.71)</v>
      </c>
      <c r="L56">
        <v>0.65946660000000001</v>
      </c>
      <c r="M56">
        <v>0.60974059999999997</v>
      </c>
      <c r="N56">
        <v>0.71324790000000005</v>
      </c>
      <c r="O56" t="str">
        <f t="shared" si="15"/>
        <v>0.66(0.61-0.71)</v>
      </c>
      <c r="Q56">
        <v>0.66870890000000005</v>
      </c>
      <c r="R56">
        <v>0.62089559999999999</v>
      </c>
      <c r="S56">
        <v>0.72020419999999996</v>
      </c>
      <c r="T56" t="str">
        <f t="shared" si="16"/>
        <v>0.67(0.62-0.72)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baseline</vt:lpstr>
      <vt:lpstr>table9&amp;10 model</vt:lpstr>
      <vt:lpstr>table11&amp;12&amp;13 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2025-11-19T07:50:50Z</dcterms:created>
  <dcterms:modified xsi:type="dcterms:W3CDTF">2025-11-25T07:39:24Z</dcterms:modified>
</cp:coreProperties>
</file>